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cision Trees Basic Example" sheetId="2" r:id="rId5"/>
    <sheet state="visible" name="Gini Entropy Calculation" sheetId="3" r:id="rId6"/>
    <sheet state="visible" name="Regression Tree Calculation" sheetId="4" r:id="rId7"/>
    <sheet state="visible" name="RSS Calculation" sheetId="5" r:id="rId8"/>
  </sheets>
  <definedNames/>
  <calcPr/>
  <extLst>
    <ext uri="GoogleSheetsCustomDataVersion2">
      <go:sheetsCustomData xmlns:go="http://customooxmlschemas.google.com/" r:id="rId9" roundtripDataChecksum="P7kOC8tvBrQmlL+TDAvbJJ3zRl1wgxzsPtWnwZr/nCM="/>
    </ext>
  </extLst>
</workbook>
</file>

<file path=xl/sharedStrings.xml><?xml version="1.0" encoding="utf-8"?>
<sst xmlns="http://schemas.openxmlformats.org/spreadsheetml/2006/main" count="422" uniqueCount="122">
  <si>
    <t>Decision Trees is a non-parametric algorithm which can help in making predictions on either continuous data or categorical data.</t>
  </si>
  <si>
    <t>Root Node</t>
  </si>
  <si>
    <t>Refund</t>
  </si>
  <si>
    <t>Left Node</t>
  </si>
  <si>
    <t>Right Node</t>
  </si>
  <si>
    <t>Refund = Yes</t>
  </si>
  <si>
    <t>Refund= No</t>
  </si>
  <si>
    <t>3 Obs</t>
  </si>
  <si>
    <t>7 Obs</t>
  </si>
  <si>
    <t>3 Cheat = No</t>
  </si>
  <si>
    <t>3 Cheat=Yes, 4 Cheat=No</t>
  </si>
  <si>
    <t>Marital Status</t>
  </si>
  <si>
    <t xml:space="preserve">Refund=No, Married </t>
  </si>
  <si>
    <t xml:space="preserve">Refund=No, Single/Divorced </t>
  </si>
  <si>
    <t>4 Obs</t>
  </si>
  <si>
    <t>3 Cheat=No</t>
  </si>
  <si>
    <t>3 Cheat=Yes, 1 Cheat No</t>
  </si>
  <si>
    <t>Taxable Income</t>
  </si>
  <si>
    <t>Refund=No, Married = No, Income&lt;80K</t>
  </si>
  <si>
    <t>Refund=No, Married = No, Income&gt;80K</t>
  </si>
  <si>
    <t>1 Obs</t>
  </si>
  <si>
    <t>1 Cheat = No</t>
  </si>
  <si>
    <t>3 Cheat = Yes</t>
  </si>
  <si>
    <t>How do we know which variable should start with and which should be next?</t>
  </si>
  <si>
    <t>How many levels we should create in the tree?</t>
  </si>
  <si>
    <t>How many minimum observations required in the final nodes to be able to make a decision?</t>
  </si>
  <si>
    <t>For continuous data, how to decide the cut off level for the split?</t>
  </si>
  <si>
    <t>How to we divide if we have more than 3 classes?</t>
  </si>
  <si>
    <t>Red = Cheat Class Yes</t>
  </si>
  <si>
    <t>Blue = Cheat Class No</t>
  </si>
  <si>
    <t>Cheat Class No = Red</t>
  </si>
  <si>
    <t>Cheat Class Yes = Blue</t>
  </si>
  <si>
    <t>Entropy = -1* (((Prop of Yes)*(log of Prop Yes to the base 2)) +  ((Prop of No)*(log of Prop No to the base 2)))</t>
  </si>
  <si>
    <t>Blue</t>
  </si>
  <si>
    <t>Root Node = 10</t>
  </si>
  <si>
    <t>Red</t>
  </si>
  <si>
    <t>Obs in Node = Refund Yes = 3</t>
  </si>
  <si>
    <t>Obs in Node = Refund No = 7</t>
  </si>
  <si>
    <t>Cheat Yes = 0</t>
  </si>
  <si>
    <t>Cheat Yes = 3</t>
  </si>
  <si>
    <t>Cheat No = 3</t>
  </si>
  <si>
    <t>Cheat No = 4</t>
  </si>
  <si>
    <t>Gini = 1 - (0/3)^2 - (3/3)^2 = 0</t>
  </si>
  <si>
    <t>Gini = 1 - (3/7)^2 - (4/7)^2 = 0.49</t>
  </si>
  <si>
    <r>
      <rPr>
        <rFont val="Calibri"/>
        <color theme="1"/>
        <sz val="11.0"/>
      </rPr>
      <t>Entropy =(-1)*((0/3)*log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>(0/3) + (3/3)*log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 xml:space="preserve">(3/3)) </t>
    </r>
  </si>
  <si>
    <r>
      <rPr>
        <rFont val="Calibri"/>
        <color theme="1"/>
        <sz val="11.0"/>
      </rPr>
      <t>Entropy =(-1)*((3/7)*log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>(3/7) + (4/7)*log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 xml:space="preserve">(4/7)) </t>
    </r>
  </si>
  <si>
    <t>Age</t>
  </si>
  <si>
    <t>Gini of Refund Variable</t>
  </si>
  <si>
    <t>Entropy of Refund Variable</t>
  </si>
  <si>
    <t>Gender</t>
  </si>
  <si>
    <t>Information Gain</t>
  </si>
  <si>
    <t>Occupation</t>
  </si>
  <si>
    <t>Salary</t>
  </si>
  <si>
    <t>Has Insurance</t>
  </si>
  <si>
    <t>Obs in Node = Married= 4</t>
  </si>
  <si>
    <t>Obs in Node = Single/Divorced = 6</t>
  </si>
  <si>
    <t>Does Not have Insurance</t>
  </si>
  <si>
    <t>Gini = 1 - (0/4)^2 - (4/4)^2 = 0</t>
  </si>
  <si>
    <t>Gini = 1 - (3/6)^2 - (3/6)^2 = 0.5</t>
  </si>
  <si>
    <r>
      <rPr>
        <rFont val="Calibri"/>
        <color theme="1"/>
        <sz val="11.0"/>
      </rPr>
      <t>Entropy =(-1)*((0/4)*log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>(0/4) + (4/4)*log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 xml:space="preserve">(4/4)) </t>
    </r>
  </si>
  <si>
    <r>
      <rPr>
        <rFont val="Calibri"/>
        <color theme="1"/>
        <sz val="11.0"/>
      </rPr>
      <t>Entropy =(-1)*((3/6)*log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>(3/6) + (3/6)*log</t>
    </r>
    <r>
      <rPr>
        <rFont val="Calibri"/>
        <color theme="1"/>
        <sz val="11.0"/>
      </rPr>
      <t>₂</t>
    </r>
    <r>
      <rPr>
        <rFont val="Calibri"/>
        <color theme="1"/>
        <sz val="11.0"/>
      </rPr>
      <t xml:space="preserve">(3/6)) </t>
    </r>
  </si>
  <si>
    <t>Gini of Marital Status Variable</t>
  </si>
  <si>
    <t>Entropy of Marital Status Variable</t>
  </si>
  <si>
    <t>Income</t>
  </si>
  <si>
    <t>Cheat</t>
  </si>
  <si>
    <t>No</t>
  </si>
  <si>
    <t>&lt;= 80K</t>
  </si>
  <si>
    <t>&gt; 80K</t>
  </si>
  <si>
    <t>&lt;80</t>
  </si>
  <si>
    <t>Yes</t>
  </si>
  <si>
    <t>&lt;100</t>
  </si>
  <si>
    <t>Gini =1 - (0/3)^2 - (3/3)^2</t>
  </si>
  <si>
    <t>Gini =1 - (3/7)^2 - (4/7)^2</t>
  </si>
  <si>
    <t>Gini of Taxable Income Variable</t>
  </si>
  <si>
    <t>&lt;= 100K</t>
  </si>
  <si>
    <t>&gt; 100K</t>
  </si>
  <si>
    <t>Gini =1 -  (3/6)^2 - (3/6)^2</t>
  </si>
  <si>
    <t>Gini =1 - (0/4)^2 - (4/4)^2</t>
  </si>
  <si>
    <t>Iteration 1 - Price&lt;=10</t>
  </si>
  <si>
    <t>Iteration 2 - Price&lt;=11</t>
  </si>
  <si>
    <t>Iteration 3 - Price&lt;=12</t>
  </si>
  <si>
    <t>Iteration 4</t>
  </si>
  <si>
    <t>Price ($)</t>
  </si>
  <si>
    <t>Review Scores Rating</t>
  </si>
  <si>
    <t>Price</t>
  </si>
  <si>
    <t>RSS</t>
  </si>
  <si>
    <t>RSS=</t>
  </si>
  <si>
    <t>Cut-Off</t>
  </si>
  <si>
    <t>RSS (Residual Sum of Squares)</t>
  </si>
  <si>
    <t>Split 1</t>
  </si>
  <si>
    <t>1st Iteration</t>
  </si>
  <si>
    <t>2nd Iteration</t>
  </si>
  <si>
    <t>Prediction Average</t>
  </si>
  <si>
    <t>Sr No.</t>
  </si>
  <si>
    <t>Split 2</t>
  </si>
  <si>
    <t>Split 3</t>
  </si>
  <si>
    <t>Split 4</t>
  </si>
  <si>
    <t>Split 5</t>
  </si>
  <si>
    <t>Ratings</t>
  </si>
  <si>
    <t>Iteration 1</t>
  </si>
  <si>
    <t>Iteration 2</t>
  </si>
  <si>
    <t>Iteration 3</t>
  </si>
  <si>
    <t>Rating</t>
  </si>
  <si>
    <t>&lt;=10</t>
  </si>
  <si>
    <t>&lt;=11</t>
  </si>
  <si>
    <t>&lt;=12</t>
  </si>
  <si>
    <t>&lt;=13</t>
  </si>
  <si>
    <t>&lt;=14</t>
  </si>
  <si>
    <t>&lt;=15</t>
  </si>
  <si>
    <t>&lt;=17.5</t>
  </si>
  <si>
    <t>&lt;=18</t>
  </si>
  <si>
    <t>&lt;=18.5</t>
  </si>
  <si>
    <t>&lt;=19</t>
  </si>
  <si>
    <t>&lt;=21</t>
  </si>
  <si>
    <t>&lt;=22</t>
  </si>
  <si>
    <t>&lt;=23</t>
  </si>
  <si>
    <t>&lt;=24</t>
  </si>
  <si>
    <t>&lt;=25</t>
  </si>
  <si>
    <t>&lt;=28</t>
  </si>
  <si>
    <t>&lt;=29</t>
  </si>
  <si>
    <t>&lt;=30</t>
  </si>
  <si>
    <t>&lt;=31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</si>
</sst>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rgb="FF006600"/>
      <name val="Arial"/>
    </font>
    <font>
      <sz val="11.0"/>
      <color theme="1"/>
      <name val="Calibri"/>
    </font>
    <font/>
    <font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0" fillId="0" fontId="1" numFmtId="0" xfId="0" applyFont="1"/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horizontal="right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horizontal="center" shrinkToFit="0" wrapText="1"/>
    </xf>
    <xf borderId="15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readingOrder="0" shrinkToFit="0" wrapText="1"/>
    </xf>
    <xf borderId="15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right" shrinkToFit="0" wrapText="1"/>
    </xf>
    <xf borderId="16" fillId="0" fontId="3" numFmtId="0" xfId="0" applyAlignment="1" applyBorder="1" applyFont="1">
      <alignment horizontal="right" shrinkToFit="0" wrapText="1"/>
    </xf>
    <xf borderId="18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/>
    </xf>
    <xf borderId="19" fillId="0" fontId="3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20" fillId="0" fontId="3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7" fillId="0" fontId="3" numFmtId="0" xfId="0" applyBorder="1" applyFont="1"/>
    <xf borderId="24" fillId="0" fontId="3" numFmtId="0" xfId="0" applyBorder="1" applyFont="1"/>
    <xf borderId="0" fillId="0" fontId="3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19" fillId="0" fontId="3" numFmtId="0" xfId="0" applyAlignment="1" applyBorder="1" applyFont="1">
      <alignment horizontal="center" vertical="center"/>
    </xf>
    <xf borderId="5" fillId="0" fontId="4" numFmtId="0" xfId="0" applyBorder="1" applyFont="1"/>
    <xf borderId="5" fillId="0" fontId="3" numFmtId="0" xfId="0" applyAlignment="1" applyBorder="1" applyFont="1">
      <alignment vertical="center"/>
    </xf>
    <xf borderId="21" fillId="0" fontId="3" numFmtId="0" xfId="0" applyAlignment="1" applyBorder="1" applyFont="1">
      <alignment horizontal="center" vertical="center"/>
    </xf>
    <xf borderId="6" fillId="0" fontId="4" numFmtId="0" xfId="0" applyBorder="1" applyFont="1"/>
    <xf borderId="6" fillId="0" fontId="3" numFmtId="0" xfId="0" applyAlignment="1" applyBorder="1" applyFont="1">
      <alignment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25" fillId="3" fontId="3" numFmtId="0" xfId="0" applyAlignment="1" applyBorder="1" applyFont="1">
      <alignment horizontal="center" vertical="center"/>
    </xf>
    <xf borderId="26" fillId="3" fontId="3" numFmtId="0" xfId="0" applyAlignment="1" applyBorder="1" applyFont="1">
      <alignment horizontal="center" vertical="center"/>
    </xf>
    <xf borderId="27" fillId="3" fontId="3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 vertical="center"/>
    </xf>
    <xf borderId="29" fillId="3" fontId="3" numFmtId="0" xfId="0" applyAlignment="1" applyBorder="1" applyFont="1">
      <alignment horizontal="center" vertical="center"/>
    </xf>
    <xf borderId="30" fillId="3" fontId="3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27" fillId="4" fontId="3" numFmtId="0" xfId="0" applyAlignment="1" applyBorder="1" applyFont="1">
      <alignment horizontal="center" vertical="center"/>
    </xf>
    <xf borderId="28" fillId="4" fontId="3" numFmtId="0" xfId="0" applyAlignment="1" applyBorder="1" applyFont="1">
      <alignment horizontal="center" vertical="center"/>
    </xf>
    <xf borderId="29" fillId="4" fontId="3" numFmtId="0" xfId="0" applyAlignment="1" applyBorder="1" applyFont="1">
      <alignment horizontal="center" vertical="center"/>
    </xf>
    <xf borderId="30" fillId="4" fontId="3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25" fillId="4" fontId="3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1"/>
    </xf>
    <xf borderId="0" fillId="0" fontId="5" numFmtId="0" xfId="0" applyFont="1"/>
    <xf borderId="1" fillId="0" fontId="5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1" fillId="0" fontId="5" numFmtId="0" xfId="0" applyBorder="1" applyFont="1"/>
    <xf borderId="23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0" fillId="0" fontId="5" numFmtId="164" xfId="0" applyAlignment="1" applyFont="1" applyNumberFormat="1">
      <alignment shrinkToFit="0" wrapText="1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31" fillId="0" fontId="3" numFmtId="0" xfId="0" applyBorder="1" applyFont="1"/>
    <xf borderId="19" fillId="0" fontId="3" numFmtId="0" xfId="0" applyBorder="1" applyFont="1"/>
    <xf borderId="2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RSS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'Regression Tree Calculation'!$B$199:$B$217</c:f>
            </c:strRef>
          </c:cat>
          <c:val>
            <c:numRef>
              <c:f>'Regression Tree Calculation'!$C$199:$C$217</c:f>
              <c:numCache/>
            </c:numRef>
          </c:val>
          <c:smooth val="0"/>
        </c:ser>
        <c:axId val="1344913012"/>
        <c:axId val="257850709"/>
      </c:lineChart>
      <c:catAx>
        <c:axId val="1344913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7850709"/>
      </c:catAx>
      <c:valAx>
        <c:axId val="257850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491301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542925</xdr:colOff>
      <xdr:row>4</xdr:row>
      <xdr:rowOff>19050</xdr:rowOff>
    </xdr:from>
    <xdr:ext cx="5143500" cy="3676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647700</xdr:colOff>
      <xdr:row>7</xdr:row>
      <xdr:rowOff>200025</xdr:rowOff>
    </xdr:from>
    <xdr:ext cx="1628775" cy="476250"/>
    <xdr:grpSp>
      <xdr:nvGrpSpPr>
        <xdr:cNvPr id="2" name="Shape 2"/>
        <xdr:cNvGrpSpPr/>
      </xdr:nvGrpSpPr>
      <xdr:grpSpPr>
        <a:xfrm>
          <a:off x="4531613" y="3546638"/>
          <a:ext cx="1628775" cy="466725"/>
          <a:chOff x="4531613" y="3546638"/>
          <a:chExt cx="1628775" cy="466725"/>
        </a:xfrm>
      </xdr:grpSpPr>
      <xdr:cxnSp>
        <xdr:nvCxnSpPr>
          <xdr:cNvPr id="3" name="Shape 3"/>
          <xdr:cNvCxnSpPr/>
        </xdr:nvCxnSpPr>
        <xdr:spPr>
          <a:xfrm flipH="1">
            <a:off x="4531613" y="3546638"/>
            <a:ext cx="1628775" cy="46672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857250</xdr:colOff>
      <xdr:row>7</xdr:row>
      <xdr:rowOff>200025</xdr:rowOff>
    </xdr:from>
    <xdr:ext cx="1047750" cy="400050"/>
    <xdr:grpSp>
      <xdr:nvGrpSpPr>
        <xdr:cNvPr id="2" name="Shape 2"/>
        <xdr:cNvGrpSpPr/>
      </xdr:nvGrpSpPr>
      <xdr:grpSpPr>
        <a:xfrm>
          <a:off x="4826888" y="3584738"/>
          <a:ext cx="1038225" cy="390525"/>
          <a:chOff x="4826888" y="3584738"/>
          <a:chExt cx="1038225" cy="390525"/>
        </a:xfrm>
      </xdr:grpSpPr>
      <xdr:cxnSp>
        <xdr:nvCxnSpPr>
          <xdr:cNvPr id="4" name="Shape 4"/>
          <xdr:cNvCxnSpPr/>
        </xdr:nvCxnSpPr>
        <xdr:spPr>
          <a:xfrm>
            <a:off x="4826888" y="3584738"/>
            <a:ext cx="1038225" cy="39052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733425</xdr:colOff>
      <xdr:row>13</xdr:row>
      <xdr:rowOff>219075</xdr:rowOff>
    </xdr:from>
    <xdr:ext cx="1047750" cy="390525"/>
    <xdr:grpSp>
      <xdr:nvGrpSpPr>
        <xdr:cNvPr id="2" name="Shape 2"/>
        <xdr:cNvGrpSpPr/>
      </xdr:nvGrpSpPr>
      <xdr:grpSpPr>
        <a:xfrm>
          <a:off x="4826888" y="3589500"/>
          <a:ext cx="1038225" cy="381000"/>
          <a:chOff x="4826888" y="3589500"/>
          <a:chExt cx="1038225" cy="381000"/>
        </a:xfrm>
      </xdr:grpSpPr>
      <xdr:cxnSp>
        <xdr:nvCxnSpPr>
          <xdr:cNvPr id="5" name="Shape 5"/>
          <xdr:cNvCxnSpPr/>
        </xdr:nvCxnSpPr>
        <xdr:spPr>
          <a:xfrm>
            <a:off x="4826888" y="3589500"/>
            <a:ext cx="1038225" cy="3810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962025</xdr:colOff>
      <xdr:row>13</xdr:row>
      <xdr:rowOff>142875</xdr:rowOff>
    </xdr:from>
    <xdr:ext cx="2057400" cy="533400"/>
    <xdr:grpSp>
      <xdr:nvGrpSpPr>
        <xdr:cNvPr id="2" name="Shape 2"/>
        <xdr:cNvGrpSpPr/>
      </xdr:nvGrpSpPr>
      <xdr:grpSpPr>
        <a:xfrm>
          <a:off x="4322063" y="3518063"/>
          <a:ext cx="2047875" cy="523875"/>
          <a:chOff x="4322063" y="3518063"/>
          <a:chExt cx="2047875" cy="523875"/>
        </a:xfrm>
      </xdr:grpSpPr>
      <xdr:cxnSp>
        <xdr:nvCxnSpPr>
          <xdr:cNvPr id="6" name="Shape 6"/>
          <xdr:cNvCxnSpPr/>
        </xdr:nvCxnSpPr>
        <xdr:spPr>
          <a:xfrm flipH="1">
            <a:off x="4322063" y="3518063"/>
            <a:ext cx="2047875" cy="52387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542925</xdr:colOff>
      <xdr:row>3</xdr:row>
      <xdr:rowOff>-190500</xdr:rowOff>
    </xdr:from>
    <xdr:ext cx="3648075" cy="3457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23</xdr:row>
      <xdr:rowOff>133350</xdr:rowOff>
    </xdr:from>
    <xdr:ext cx="6381750" cy="4295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48</xdr:row>
      <xdr:rowOff>85725</xdr:rowOff>
    </xdr:from>
    <xdr:ext cx="6715125" cy="57054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314325</xdr:colOff>
      <xdr:row>11</xdr:row>
      <xdr:rowOff>9525</xdr:rowOff>
    </xdr:from>
    <xdr:ext cx="4124325" cy="34956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57150</xdr:rowOff>
    </xdr:from>
    <xdr:ext cx="4286250" cy="4600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198</xdr:row>
      <xdr:rowOff>66675</xdr:rowOff>
    </xdr:from>
    <xdr:ext cx="6200775" cy="2857500"/>
    <xdr:graphicFrame>
      <xdr:nvGraphicFramePr>
        <xdr:cNvPr id="118108509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247650</xdr:colOff>
      <xdr:row>31</xdr:row>
      <xdr:rowOff>38100</xdr:rowOff>
    </xdr:from>
    <xdr:ext cx="10734675" cy="6486525"/>
    <xdr:pic>
      <xdr:nvPicPr>
        <xdr:cNvPr descr="Image for post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92</xdr:row>
      <xdr:rowOff>104775</xdr:rowOff>
    </xdr:from>
    <xdr:ext cx="10991850" cy="4086225"/>
    <xdr:pic>
      <xdr:nvPicPr>
        <xdr:cNvPr descr="Image for post"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119</xdr:row>
      <xdr:rowOff>142875</xdr:rowOff>
    </xdr:from>
    <xdr:ext cx="9601200" cy="3152775"/>
    <xdr:pic>
      <xdr:nvPicPr>
        <xdr:cNvPr descr="Image for post"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4" width="22.14"/>
    <col customWidth="1" min="15" max="15" width="14.43"/>
    <col customWidth="1" min="16" max="26" width="8.71"/>
  </cols>
  <sheetData>
    <row r="1" ht="14.25" customHeight="1">
      <c r="A1" s="2"/>
    </row>
    <row r="2" ht="14.25" customHeight="1">
      <c r="J2" s="3"/>
      <c r="K2" s="3"/>
      <c r="L2" s="3"/>
      <c r="M2" s="3"/>
      <c r="N2" s="3"/>
      <c r="O2" s="3"/>
    </row>
    <row r="3" ht="14.25" customHeight="1">
      <c r="A3" s="2"/>
      <c r="J3" s="3"/>
      <c r="K3" s="3" t="s">
        <v>1</v>
      </c>
      <c r="L3" s="3"/>
      <c r="M3" s="3"/>
      <c r="N3" s="3"/>
      <c r="O3" s="3"/>
    </row>
    <row r="4" ht="14.25" customHeight="1">
      <c r="J4" s="4" t="s">
        <v>2</v>
      </c>
      <c r="K4" s="5"/>
      <c r="L4" s="6"/>
      <c r="M4" s="3"/>
      <c r="N4" s="3"/>
      <c r="O4" s="3"/>
    </row>
    <row r="5" ht="14.25" customHeight="1">
      <c r="A5" s="2"/>
      <c r="J5" s="7" t="s">
        <v>3</v>
      </c>
      <c r="K5" s="3"/>
      <c r="L5" s="7" t="s">
        <v>4</v>
      </c>
      <c r="M5" s="3"/>
      <c r="N5" s="3"/>
      <c r="O5" s="3"/>
    </row>
    <row r="6" ht="14.25" customHeight="1">
      <c r="J6" s="8" t="s">
        <v>5</v>
      </c>
      <c r="K6" s="3"/>
      <c r="L6" s="8" t="s">
        <v>6</v>
      </c>
      <c r="M6" s="3"/>
      <c r="N6" s="3"/>
      <c r="O6" s="3"/>
    </row>
    <row r="7" ht="14.25" customHeight="1">
      <c r="A7" s="2"/>
      <c r="J7" s="8" t="s">
        <v>7</v>
      </c>
      <c r="K7" s="3"/>
      <c r="L7" s="8" t="s">
        <v>8</v>
      </c>
      <c r="M7" s="3"/>
      <c r="N7" s="3"/>
      <c r="O7" s="3"/>
    </row>
    <row r="8" ht="17.25" customHeight="1">
      <c r="J8" s="9" t="s">
        <v>9</v>
      </c>
      <c r="K8" s="10"/>
      <c r="L8" s="9" t="s">
        <v>10</v>
      </c>
      <c r="M8" s="3"/>
      <c r="N8" s="3"/>
      <c r="O8" s="3"/>
    </row>
    <row r="9" ht="14.25" customHeight="1">
      <c r="J9" s="3"/>
      <c r="K9" s="3"/>
      <c r="L9" s="3"/>
      <c r="M9" s="3"/>
      <c r="N9" s="3"/>
      <c r="O9" s="3"/>
    </row>
    <row r="10" ht="14.25" customHeight="1">
      <c r="J10" s="3"/>
      <c r="K10" s="4" t="s">
        <v>11</v>
      </c>
      <c r="L10" s="5"/>
      <c r="M10" s="6"/>
      <c r="N10" s="3"/>
      <c r="O10" s="3"/>
    </row>
    <row r="11" ht="14.25" customHeight="1">
      <c r="J11" s="3"/>
      <c r="K11" s="7" t="s">
        <v>3</v>
      </c>
      <c r="L11" s="11"/>
      <c r="M11" s="7" t="s">
        <v>4</v>
      </c>
      <c r="N11" s="3"/>
      <c r="O11" s="3"/>
    </row>
    <row r="12" ht="14.25" customHeight="1">
      <c r="J12" s="3"/>
      <c r="K12" s="8" t="s">
        <v>12</v>
      </c>
      <c r="L12" s="3"/>
      <c r="M12" s="8" t="s">
        <v>13</v>
      </c>
      <c r="N12" s="3"/>
      <c r="O12" s="3"/>
    </row>
    <row r="13" ht="14.25" customHeight="1">
      <c r="J13" s="3"/>
      <c r="K13" s="8" t="s">
        <v>7</v>
      </c>
      <c r="L13" s="3"/>
      <c r="M13" s="8" t="s">
        <v>14</v>
      </c>
      <c r="N13" s="3"/>
      <c r="O13" s="3"/>
    </row>
    <row r="14" ht="16.5" customHeight="1">
      <c r="J14" s="3"/>
      <c r="K14" s="9" t="s">
        <v>15</v>
      </c>
      <c r="L14" s="10"/>
      <c r="M14" s="9" t="s">
        <v>16</v>
      </c>
      <c r="N14" s="3"/>
      <c r="O14" s="3"/>
    </row>
    <row r="15" ht="14.25" customHeight="1">
      <c r="J15" s="3"/>
      <c r="K15" s="3"/>
      <c r="L15" s="3"/>
      <c r="M15" s="3"/>
      <c r="N15" s="3"/>
      <c r="O15" s="3"/>
    </row>
    <row r="16" ht="14.25" customHeight="1">
      <c r="J16" s="3"/>
      <c r="K16" s="4" t="s">
        <v>17</v>
      </c>
      <c r="L16" s="5"/>
      <c r="M16" s="5"/>
      <c r="N16" s="6"/>
      <c r="O16" s="3"/>
    </row>
    <row r="17" ht="14.25" customHeight="1">
      <c r="J17" s="3"/>
      <c r="K17" s="7" t="s">
        <v>3</v>
      </c>
      <c r="L17" s="11"/>
      <c r="M17" s="11"/>
      <c r="N17" s="7" t="s">
        <v>4</v>
      </c>
      <c r="O17" s="3"/>
    </row>
    <row r="18" ht="30.0" customHeight="1">
      <c r="J18" s="3"/>
      <c r="K18" s="8" t="s">
        <v>18</v>
      </c>
      <c r="L18" s="3"/>
      <c r="M18" s="3"/>
      <c r="N18" s="8" t="s">
        <v>19</v>
      </c>
      <c r="O18" s="3"/>
    </row>
    <row r="19" ht="14.25" customHeight="1">
      <c r="J19" s="3"/>
      <c r="K19" s="8" t="s">
        <v>20</v>
      </c>
      <c r="L19" s="3"/>
      <c r="M19" s="3"/>
      <c r="N19" s="8" t="s">
        <v>7</v>
      </c>
      <c r="O19" s="3"/>
    </row>
    <row r="20" ht="14.25" customHeight="1">
      <c r="J20" s="3"/>
      <c r="K20" s="9" t="s">
        <v>21</v>
      </c>
      <c r="L20" s="10"/>
      <c r="M20" s="10"/>
      <c r="N20" s="9" t="s">
        <v>22</v>
      </c>
      <c r="O20" s="3"/>
    </row>
    <row r="21" ht="14.25" customHeight="1"/>
    <row r="22" ht="14.25" customHeight="1"/>
    <row r="23" ht="14.25" customHeight="1"/>
    <row r="24" ht="14.25" customHeight="1">
      <c r="K24" s="1">
        <v>1.0</v>
      </c>
      <c r="L24" s="1" t="s">
        <v>23</v>
      </c>
    </row>
    <row r="25" ht="14.25" customHeight="1">
      <c r="K25" s="1">
        <v>2.0</v>
      </c>
      <c r="L25" s="1" t="s">
        <v>24</v>
      </c>
    </row>
    <row r="26" ht="14.25" customHeight="1">
      <c r="K26" s="1">
        <v>3.0</v>
      </c>
      <c r="L26" s="1" t="s">
        <v>25</v>
      </c>
    </row>
    <row r="27" ht="14.25" customHeight="1">
      <c r="K27" s="1">
        <v>4.0</v>
      </c>
      <c r="L27" s="1" t="s">
        <v>26</v>
      </c>
    </row>
    <row r="28" ht="14.25" customHeight="1">
      <c r="K28" s="1">
        <v>5.0</v>
      </c>
      <c r="L28" s="1" t="s">
        <v>27</v>
      </c>
      <c r="O28" s="12">
        <v>2.0</v>
      </c>
    </row>
    <row r="29" ht="14.25" customHeight="1">
      <c r="O29" s="12">
        <v>3.0</v>
      </c>
    </row>
    <row r="30" ht="14.25" customHeight="1">
      <c r="O30" s="12">
        <v>4.0</v>
      </c>
    </row>
    <row r="31" ht="14.25" customHeight="1">
      <c r="O31" s="12">
        <v>1.0</v>
      </c>
    </row>
    <row r="32" ht="14.25" customHeight="1">
      <c r="O32" s="12">
        <v>2.0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J4:L4"/>
    <mergeCell ref="K10:M10"/>
    <mergeCell ref="K16:N1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7.71"/>
    <col customWidth="1" min="10" max="10" width="18.71"/>
    <col customWidth="1" min="11" max="11" width="27.71"/>
    <col customWidth="1" min="12" max="14" width="8.71"/>
    <col customWidth="1" min="15" max="15" width="41.14"/>
    <col customWidth="1" min="16" max="16" width="17.0"/>
    <col customWidth="1" min="17" max="17" width="43.43"/>
    <col customWidth="1" min="18" max="26" width="8.71"/>
  </cols>
  <sheetData>
    <row r="1" ht="14.25" customHeight="1"/>
    <row r="2" ht="14.25" customHeight="1"/>
    <row r="3" ht="14.25" customHeight="1">
      <c r="B3" s="12" t="s">
        <v>28</v>
      </c>
    </row>
    <row r="4" ht="14.25" customHeight="1">
      <c r="B4" s="12" t="s">
        <v>29</v>
      </c>
    </row>
    <row r="5" ht="14.25" customHeight="1">
      <c r="I5" s="12" t="s">
        <v>30</v>
      </c>
    </row>
    <row r="6" ht="14.25" customHeight="1">
      <c r="I6" s="12" t="s">
        <v>31</v>
      </c>
    </row>
    <row r="7" ht="14.25" customHeight="1">
      <c r="O7" s="12" t="s">
        <v>32</v>
      </c>
    </row>
    <row r="8" ht="14.25" customHeight="1"/>
    <row r="9" ht="14.25" customHeight="1">
      <c r="D9" s="12" t="s">
        <v>33</v>
      </c>
      <c r="J9" s="12" t="s">
        <v>34</v>
      </c>
      <c r="P9" s="12" t="s">
        <v>34</v>
      </c>
    </row>
    <row r="10" ht="14.25" customHeight="1">
      <c r="D10" s="12" t="s">
        <v>35</v>
      </c>
    </row>
    <row r="11" ht="14.25" customHeight="1">
      <c r="I11" s="13" t="s">
        <v>36</v>
      </c>
      <c r="K11" s="14" t="s">
        <v>37</v>
      </c>
      <c r="O11" s="13" t="s">
        <v>36</v>
      </c>
      <c r="Q11" s="14" t="s">
        <v>37</v>
      </c>
    </row>
    <row r="12" ht="14.25" customHeight="1">
      <c r="I12" s="15" t="s">
        <v>38</v>
      </c>
      <c r="K12" s="16" t="s">
        <v>39</v>
      </c>
      <c r="O12" s="15" t="s">
        <v>38</v>
      </c>
      <c r="Q12" s="16" t="s">
        <v>39</v>
      </c>
    </row>
    <row r="13" ht="14.25" customHeight="1">
      <c r="I13" s="15" t="s">
        <v>40</v>
      </c>
      <c r="K13" s="16" t="s">
        <v>41</v>
      </c>
      <c r="O13" s="15" t="s">
        <v>40</v>
      </c>
      <c r="Q13" s="16" t="s">
        <v>41</v>
      </c>
    </row>
    <row r="14" ht="14.25" customHeight="1">
      <c r="I14" s="15"/>
      <c r="K14" s="16"/>
      <c r="O14" s="15"/>
      <c r="Q14" s="16"/>
    </row>
    <row r="15" ht="14.25" customHeight="1">
      <c r="I15" s="17" t="s">
        <v>42</v>
      </c>
      <c r="K15" s="18" t="s">
        <v>43</v>
      </c>
      <c r="O15" s="15" t="s">
        <v>44</v>
      </c>
      <c r="Q15" s="15" t="s">
        <v>45</v>
      </c>
    </row>
    <row r="16" ht="14.25" customHeight="1">
      <c r="I16" s="19">
        <f> 1 - (0/3)^2 - (3/3)^2</f>
        <v>0</v>
      </c>
      <c r="K16" s="20">
        <f>1 - (3/7)^2 - (4/7)^2</f>
        <v>0.4897959184</v>
      </c>
      <c r="O16" s="19">
        <f>(-1)*(0+(1*LOG(1,2)))</f>
        <v>0</v>
      </c>
      <c r="Q16" s="19">
        <f>(-1)*(((3/7)*LOG((3/7),2))+((4/7)*LOG((4/7),2)))</f>
        <v>0.985228136</v>
      </c>
    </row>
    <row r="17" ht="14.25" customHeight="1"/>
    <row r="18" ht="14.25" customHeight="1">
      <c r="C18" s="12" t="s">
        <v>46</v>
      </c>
      <c r="E18" s="12">
        <v>0.55</v>
      </c>
      <c r="I18" s="12" t="s">
        <v>47</v>
      </c>
      <c r="J18" s="12">
        <f>(I16*(3/10))  + (K16*(7/10))</f>
        <v>0.3428571429</v>
      </c>
      <c r="O18" s="12" t="s">
        <v>48</v>
      </c>
      <c r="P18" s="12">
        <f>(O16*(3/10))  + (Q16*(7/10))</f>
        <v>0.6896596952</v>
      </c>
      <c r="Q18" s="12" t="str">
        <f t="shared" ref="Q18:Q19" si="1">FORMULATEXT(P18)</f>
        <v>=(O16*(3/10))  + (Q16*(7/10))</v>
      </c>
    </row>
    <row r="19" ht="14.25" customHeight="1">
      <c r="C19" s="12" t="s">
        <v>49</v>
      </c>
      <c r="E19" s="12">
        <v>0.3</v>
      </c>
      <c r="J19" s="12" t="str">
        <f>FORMULATEXT(J18)</f>
        <v>=(I16*(3/10))  + (K16*(7/10))</v>
      </c>
      <c r="O19" s="12" t="s">
        <v>50</v>
      </c>
      <c r="P19" s="12">
        <f>1-P18</f>
        <v>0.3103403048</v>
      </c>
      <c r="Q19" s="12" t="str">
        <f t="shared" si="1"/>
        <v>=1-P18</v>
      </c>
    </row>
    <row r="20" ht="14.25" customHeight="1">
      <c r="C20" s="12" t="s">
        <v>51</v>
      </c>
      <c r="E20" s="12">
        <v>0.68</v>
      </c>
    </row>
    <row r="21" ht="14.25" customHeight="1">
      <c r="C21" s="12" t="s">
        <v>52</v>
      </c>
      <c r="E21" s="12">
        <v>0.77</v>
      </c>
      <c r="J21" s="12" t="s">
        <v>34</v>
      </c>
      <c r="P21" s="12" t="s">
        <v>34</v>
      </c>
    </row>
    <row r="22" ht="14.25" customHeight="1"/>
    <row r="23" ht="14.25" customHeight="1">
      <c r="C23" s="12" t="s">
        <v>53</v>
      </c>
      <c r="F23" s="12" t="s">
        <v>33</v>
      </c>
      <c r="I23" s="13" t="s">
        <v>54</v>
      </c>
      <c r="K23" s="14" t="s">
        <v>55</v>
      </c>
      <c r="O23" s="13" t="s">
        <v>54</v>
      </c>
      <c r="Q23" s="14" t="s">
        <v>55</v>
      </c>
    </row>
    <row r="24" ht="14.25" customHeight="1">
      <c r="C24" s="12" t="s">
        <v>56</v>
      </c>
      <c r="F24" s="12" t="s">
        <v>35</v>
      </c>
      <c r="I24" s="15" t="s">
        <v>38</v>
      </c>
      <c r="K24" s="16" t="s">
        <v>39</v>
      </c>
      <c r="O24" s="15" t="s">
        <v>38</v>
      </c>
      <c r="Q24" s="16" t="s">
        <v>39</v>
      </c>
    </row>
    <row r="25" ht="14.25" customHeight="1">
      <c r="I25" s="15" t="s">
        <v>41</v>
      </c>
      <c r="K25" s="16" t="s">
        <v>40</v>
      </c>
      <c r="O25" s="15" t="s">
        <v>41</v>
      </c>
      <c r="Q25" s="16" t="s">
        <v>40</v>
      </c>
    </row>
    <row r="26" ht="14.25" customHeight="1">
      <c r="I26" s="15"/>
      <c r="K26" s="16"/>
      <c r="O26" s="15"/>
      <c r="Q26" s="16"/>
    </row>
    <row r="27" ht="14.25" customHeight="1">
      <c r="I27" s="17" t="s">
        <v>57</v>
      </c>
      <c r="K27" s="18" t="s">
        <v>58</v>
      </c>
      <c r="O27" s="15" t="s">
        <v>59</v>
      </c>
      <c r="Q27" s="15" t="s">
        <v>60</v>
      </c>
    </row>
    <row r="28" ht="14.25" customHeight="1">
      <c r="I28" s="19">
        <f> 1 - (0/4)^2 - (4/4)^2</f>
        <v>0</v>
      </c>
      <c r="K28" s="20">
        <f> 1 - (3/6)^2 - (3/6)^2</f>
        <v>0.5</v>
      </c>
      <c r="O28" s="19">
        <f>(-1)*(0+(1*LOG(1,2)))</f>
        <v>0</v>
      </c>
      <c r="Q28" s="19">
        <f>(-1)*(((3/6)*LOG((3/6),2))+((3/6)*LOG((3/6),2)))</f>
        <v>1</v>
      </c>
    </row>
    <row r="29" ht="14.25" customHeight="1"/>
    <row r="30" ht="14.25" customHeight="1">
      <c r="I30" s="12" t="s">
        <v>61</v>
      </c>
      <c r="J30" s="12">
        <f>(I28*(4/10))  + (K28*(6/10))</f>
        <v>0.3</v>
      </c>
      <c r="O30" s="12" t="s">
        <v>62</v>
      </c>
      <c r="P30" s="12">
        <f>(O28*(4/10))  + (Q28*(6/10))</f>
        <v>0.6</v>
      </c>
      <c r="Q30" s="12" t="str">
        <f t="shared" ref="Q30:Q31" si="2">FORMULATEXT(P30)</f>
        <v>=(O28*(4/10))  + (Q28*(6/10))</v>
      </c>
    </row>
    <row r="31" ht="14.25" customHeight="1">
      <c r="J31" s="12" t="str">
        <f>FORMULATEXT(J30)</f>
        <v>=(I28*(4/10))  + (K28*(6/10))</v>
      </c>
      <c r="O31" s="12" t="s">
        <v>50</v>
      </c>
      <c r="P31" s="12">
        <f>1-P30</f>
        <v>0.4</v>
      </c>
      <c r="Q31" s="12" t="str">
        <f t="shared" si="2"/>
        <v>=1-P30</v>
      </c>
    </row>
    <row r="32" ht="14.25" customHeight="1"/>
    <row r="33" ht="14.25" customHeight="1"/>
    <row r="34" ht="14.25" customHeight="1"/>
    <row r="35" ht="14.25" customHeight="1"/>
    <row r="36" ht="14.25" customHeight="1">
      <c r="C36" s="21" t="s">
        <v>63</v>
      </c>
      <c r="D36" s="22" t="s">
        <v>64</v>
      </c>
      <c r="I36" s="23"/>
      <c r="J36" s="24" t="s">
        <v>34</v>
      </c>
      <c r="K36" s="23"/>
    </row>
    <row r="37" ht="14.25" customHeight="1">
      <c r="C37" s="25">
        <v>60.0</v>
      </c>
      <c r="D37" s="26" t="s">
        <v>65</v>
      </c>
      <c r="I37" s="27"/>
      <c r="J37" s="23"/>
      <c r="K37" s="27"/>
    </row>
    <row r="38" ht="14.25" customHeight="1">
      <c r="C38" s="25">
        <v>70.0</v>
      </c>
      <c r="D38" s="26" t="s">
        <v>65</v>
      </c>
      <c r="I38" s="28" t="s">
        <v>66</v>
      </c>
      <c r="J38" s="29"/>
      <c r="K38" s="30" t="s">
        <v>67</v>
      </c>
    </row>
    <row r="39" ht="14.25" customHeight="1">
      <c r="C39" s="25">
        <v>75.0</v>
      </c>
      <c r="D39" s="26" t="s">
        <v>65</v>
      </c>
      <c r="E39" s="12" t="s">
        <v>68</v>
      </c>
      <c r="I39" s="28" t="s">
        <v>38</v>
      </c>
      <c r="J39" s="29"/>
      <c r="K39" s="30" t="s">
        <v>39</v>
      </c>
    </row>
    <row r="40" ht="14.25" customHeight="1">
      <c r="C40" s="25">
        <v>85.0</v>
      </c>
      <c r="D40" s="26" t="s">
        <v>69</v>
      </c>
      <c r="I40" s="28" t="s">
        <v>40</v>
      </c>
      <c r="J40" s="29"/>
      <c r="K40" s="30" t="s">
        <v>41</v>
      </c>
    </row>
    <row r="41" ht="14.25" customHeight="1">
      <c r="C41" s="25">
        <v>90.0</v>
      </c>
      <c r="D41" s="26" t="s">
        <v>69</v>
      </c>
      <c r="I41" s="31"/>
      <c r="J41" s="29"/>
      <c r="K41" s="32"/>
    </row>
    <row r="42" ht="14.25" customHeight="1">
      <c r="C42" s="25">
        <v>95.0</v>
      </c>
      <c r="D42" s="26" t="s">
        <v>69</v>
      </c>
      <c r="E42" s="12" t="s">
        <v>70</v>
      </c>
      <c r="I42" s="33" t="s">
        <v>71</v>
      </c>
      <c r="J42" s="29"/>
      <c r="K42" s="34" t="s">
        <v>72</v>
      </c>
    </row>
    <row r="43" ht="14.25" customHeight="1">
      <c r="C43" s="25">
        <v>100.0</v>
      </c>
      <c r="D43" s="26" t="s">
        <v>65</v>
      </c>
      <c r="I43" s="35">
        <f> 1 - (0/3)^2 - (3/3)^2</f>
        <v>0</v>
      </c>
      <c r="J43" s="29"/>
      <c r="K43" s="36">
        <f>1 - (3/7)^2 - (4/7)^2</f>
        <v>0.4897959184</v>
      </c>
    </row>
    <row r="44" ht="14.25" customHeight="1">
      <c r="C44" s="25">
        <v>120.0</v>
      </c>
      <c r="D44" s="26" t="s">
        <v>65</v>
      </c>
      <c r="I44" s="23"/>
      <c r="J44" s="23"/>
      <c r="K44" s="23"/>
    </row>
    <row r="45" ht="14.25" customHeight="1">
      <c r="C45" s="25">
        <v>125.0</v>
      </c>
      <c r="D45" s="26" t="s">
        <v>65</v>
      </c>
      <c r="I45" s="23" t="s">
        <v>73</v>
      </c>
      <c r="J45" s="37">
        <f>I43*(3/10) + K43*(7/10)</f>
        <v>0.3428571429</v>
      </c>
      <c r="K45" s="23"/>
    </row>
    <row r="46" ht="14.25" customHeight="1">
      <c r="C46" s="38">
        <v>220.0</v>
      </c>
      <c r="D46" s="39" t="s">
        <v>65</v>
      </c>
      <c r="I46" s="23"/>
      <c r="J46" s="23"/>
      <c r="K46" s="23"/>
    </row>
    <row r="47" ht="14.25" customHeight="1">
      <c r="I47" s="23"/>
      <c r="J47" s="24" t="s">
        <v>34</v>
      </c>
      <c r="K47" s="23"/>
    </row>
    <row r="48" ht="14.25" customHeight="1">
      <c r="I48" s="27"/>
      <c r="J48" s="23"/>
      <c r="K48" s="27"/>
    </row>
    <row r="49" ht="14.25" customHeight="1">
      <c r="I49" s="28" t="s">
        <v>74</v>
      </c>
      <c r="J49" s="29"/>
      <c r="K49" s="30" t="s">
        <v>75</v>
      </c>
    </row>
    <row r="50" ht="14.25" customHeight="1">
      <c r="I50" s="28" t="s">
        <v>39</v>
      </c>
      <c r="J50" s="29"/>
      <c r="K50" s="30" t="s">
        <v>38</v>
      </c>
    </row>
    <row r="51" ht="14.25" customHeight="1">
      <c r="I51" s="28" t="s">
        <v>40</v>
      </c>
      <c r="J51" s="29"/>
      <c r="K51" s="30" t="s">
        <v>41</v>
      </c>
    </row>
    <row r="52" ht="14.25" customHeight="1">
      <c r="I52" s="31"/>
      <c r="J52" s="29"/>
      <c r="K52" s="32"/>
    </row>
    <row r="53" ht="14.25" customHeight="1">
      <c r="I53" s="33" t="s">
        <v>76</v>
      </c>
      <c r="J53" s="29"/>
      <c r="K53" s="34" t="s">
        <v>77</v>
      </c>
    </row>
    <row r="54" ht="14.25" customHeight="1">
      <c r="I54" s="35">
        <f>1 -  (3/6)^2 - (3/6)^2</f>
        <v>0.5</v>
      </c>
      <c r="J54" s="29"/>
      <c r="K54" s="36">
        <f>1 - (0/4)^2 - (4/4)^2</f>
        <v>0</v>
      </c>
    </row>
    <row r="55" ht="14.25" customHeight="1">
      <c r="I55" s="23"/>
      <c r="J55" s="23"/>
      <c r="K55" s="23"/>
    </row>
    <row r="56" ht="14.25" customHeight="1">
      <c r="I56" s="23" t="s">
        <v>73</v>
      </c>
      <c r="J56" s="37">
        <f>I54*(6/10) + K54*(4/10)</f>
        <v>0.3</v>
      </c>
      <c r="K56" s="23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5.29"/>
    <col customWidth="1" min="3" max="3" width="12.29"/>
    <col customWidth="1" min="4" max="4" width="8.71"/>
    <col customWidth="1" min="5" max="5" width="17.29"/>
    <col customWidth="1" min="6" max="137" width="8.71"/>
  </cols>
  <sheetData>
    <row r="1" ht="14.25" customHeight="1">
      <c r="F1" s="40" t="s">
        <v>78</v>
      </c>
      <c r="M1" s="40" t="s">
        <v>79</v>
      </c>
      <c r="T1" s="40" t="s">
        <v>80</v>
      </c>
      <c r="AA1" s="40" t="s">
        <v>81</v>
      </c>
    </row>
    <row r="2" ht="14.25" customHeight="1">
      <c r="A2" s="3"/>
      <c r="B2" s="3" t="s">
        <v>82</v>
      </c>
      <c r="C2" s="3" t="s">
        <v>83</v>
      </c>
      <c r="D2" s="3"/>
      <c r="E2" s="3"/>
      <c r="F2" s="41" t="s">
        <v>84</v>
      </c>
      <c r="G2" s="42" t="s">
        <v>83</v>
      </c>
      <c r="H2" s="43" t="s">
        <v>85</v>
      </c>
      <c r="I2" s="42" t="s">
        <v>84</v>
      </c>
      <c r="J2" s="42" t="s">
        <v>83</v>
      </c>
      <c r="K2" s="43" t="s">
        <v>85</v>
      </c>
      <c r="L2" s="3"/>
      <c r="M2" s="41" t="s">
        <v>84</v>
      </c>
      <c r="N2" s="42" t="s">
        <v>83</v>
      </c>
      <c r="O2" s="43" t="s">
        <v>85</v>
      </c>
      <c r="P2" s="42" t="s">
        <v>84</v>
      </c>
      <c r="Q2" s="42" t="s">
        <v>83</v>
      </c>
      <c r="R2" s="43" t="s">
        <v>85</v>
      </c>
      <c r="S2" s="3"/>
      <c r="T2" s="41" t="s">
        <v>84</v>
      </c>
      <c r="U2" s="42" t="s">
        <v>83</v>
      </c>
      <c r="V2" s="43" t="s">
        <v>85</v>
      </c>
      <c r="W2" s="42" t="s">
        <v>84</v>
      </c>
      <c r="X2" s="42" t="s">
        <v>83</v>
      </c>
      <c r="Y2" s="43" t="s">
        <v>85</v>
      </c>
      <c r="Z2" s="3"/>
      <c r="AA2" s="41" t="s">
        <v>84</v>
      </c>
      <c r="AB2" s="42" t="s">
        <v>83</v>
      </c>
      <c r="AC2" s="43" t="s">
        <v>85</v>
      </c>
      <c r="AD2" s="42" t="s">
        <v>84</v>
      </c>
      <c r="AE2" s="42" t="s">
        <v>83</v>
      </c>
      <c r="AF2" s="43" t="s">
        <v>85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</row>
    <row r="3" ht="14.25" customHeight="1">
      <c r="A3" s="12">
        <v>0.0</v>
      </c>
      <c r="B3" s="12">
        <v>10.0</v>
      </c>
      <c r="C3" s="12">
        <v>10.0</v>
      </c>
      <c r="F3" s="44">
        <v>10.0</v>
      </c>
      <c r="G3" s="12">
        <v>10.0</v>
      </c>
      <c r="H3" s="45">
        <f>(G3-$G$22)^2</f>
        <v>0</v>
      </c>
      <c r="I3" s="12">
        <v>11.0</v>
      </c>
      <c r="J3" s="12">
        <v>10.0</v>
      </c>
      <c r="K3" s="45">
        <f t="shared" ref="K3:K21" si="1">(J3-J$22)^2</f>
        <v>2622.518006</v>
      </c>
      <c r="M3" s="44">
        <v>10.0</v>
      </c>
      <c r="N3" s="12">
        <v>10.0</v>
      </c>
      <c r="O3" s="45">
        <f t="shared" ref="O3:O4" si="2">(N3-N$22)^2</f>
        <v>0</v>
      </c>
      <c r="P3" s="12">
        <v>12.0</v>
      </c>
      <c r="Q3" s="12">
        <v>10.0</v>
      </c>
      <c r="R3" s="45">
        <f t="shared" ref="R3:R20" si="3">(Q3-Q$22)^2</f>
        <v>2922.003086</v>
      </c>
      <c r="T3" s="44">
        <v>10.0</v>
      </c>
      <c r="U3" s="12">
        <v>10.0</v>
      </c>
      <c r="V3" s="45">
        <f t="shared" ref="V3:V5" si="4">(U3-U$22)^2</f>
        <v>0</v>
      </c>
      <c r="W3" s="12">
        <v>13.0</v>
      </c>
      <c r="X3" s="12">
        <v>10.0</v>
      </c>
      <c r="Y3" s="45">
        <f t="shared" ref="Y3:Y19" si="5">(X3-X$22)^2</f>
        <v>3275.878893</v>
      </c>
      <c r="AA3" s="44">
        <v>10.0</v>
      </c>
      <c r="AB3" s="12">
        <v>10.0</v>
      </c>
      <c r="AC3" s="45">
        <f t="shared" ref="AC3:AC5" si="6">(AB3-AB$22)^2</f>
        <v>0</v>
      </c>
      <c r="AD3" s="12">
        <v>14.0</v>
      </c>
      <c r="AE3" s="12">
        <v>13.0</v>
      </c>
      <c r="AF3" s="45">
        <f t="shared" ref="AF3:AF19" si="7">(AE3-AE$22)^2</f>
        <v>3543.750865</v>
      </c>
    </row>
    <row r="4" ht="14.25" customHeight="1">
      <c r="A4" s="12">
        <v>1.0</v>
      </c>
      <c r="B4" s="12">
        <v>11.0</v>
      </c>
      <c r="C4" s="12">
        <v>10.0</v>
      </c>
      <c r="F4" s="44"/>
      <c r="H4" s="45"/>
      <c r="I4" s="12">
        <v>12.0</v>
      </c>
      <c r="J4" s="12">
        <v>10.0</v>
      </c>
      <c r="K4" s="45">
        <f t="shared" si="1"/>
        <v>2622.518006</v>
      </c>
      <c r="M4" s="44">
        <v>11.0</v>
      </c>
      <c r="N4" s="12">
        <v>10.0</v>
      </c>
      <c r="O4" s="45">
        <f t="shared" si="2"/>
        <v>0</v>
      </c>
      <c r="P4" s="12">
        <v>13.0</v>
      </c>
      <c r="Q4" s="12">
        <v>10.0</v>
      </c>
      <c r="R4" s="45">
        <f t="shared" si="3"/>
        <v>2922.003086</v>
      </c>
      <c r="T4" s="44">
        <v>11.0</v>
      </c>
      <c r="U4" s="12">
        <v>10.0</v>
      </c>
      <c r="V4" s="45">
        <f t="shared" si="4"/>
        <v>0</v>
      </c>
      <c r="W4" s="12">
        <v>14.0</v>
      </c>
      <c r="X4" s="12">
        <v>13.0</v>
      </c>
      <c r="Y4" s="45">
        <f t="shared" si="5"/>
        <v>2941.467128</v>
      </c>
      <c r="AA4" s="44">
        <v>11.0</v>
      </c>
      <c r="AB4" s="12">
        <v>10.0</v>
      </c>
      <c r="AC4" s="45">
        <f t="shared" si="6"/>
        <v>0</v>
      </c>
      <c r="AD4" s="12">
        <v>15.0</v>
      </c>
      <c r="AE4" s="12">
        <v>20.0</v>
      </c>
      <c r="AF4" s="45">
        <f t="shared" si="7"/>
        <v>2759.3391</v>
      </c>
    </row>
    <row r="5" ht="14.25" customHeight="1">
      <c r="A5" s="12">
        <v>2.0</v>
      </c>
      <c r="B5" s="12">
        <v>12.0</v>
      </c>
      <c r="C5" s="12">
        <v>10.0</v>
      </c>
      <c r="F5" s="44"/>
      <c r="H5" s="45"/>
      <c r="I5" s="12">
        <v>13.0</v>
      </c>
      <c r="J5" s="12">
        <v>10.0</v>
      </c>
      <c r="K5" s="45">
        <f t="shared" si="1"/>
        <v>2622.518006</v>
      </c>
      <c r="M5" s="44"/>
      <c r="O5" s="45"/>
      <c r="P5" s="12">
        <v>14.0</v>
      </c>
      <c r="Q5" s="12">
        <v>13.0</v>
      </c>
      <c r="R5" s="45">
        <f t="shared" si="3"/>
        <v>2606.669753</v>
      </c>
      <c r="T5" s="44">
        <v>12.0</v>
      </c>
      <c r="U5" s="12">
        <v>10.0</v>
      </c>
      <c r="V5" s="45">
        <f t="shared" si="4"/>
        <v>0</v>
      </c>
      <c r="W5" s="12">
        <v>15.0</v>
      </c>
      <c r="X5" s="12">
        <v>20.0</v>
      </c>
      <c r="Y5" s="45">
        <f t="shared" si="5"/>
        <v>2231.17301</v>
      </c>
      <c r="AA5" s="44">
        <v>12.0</v>
      </c>
      <c r="AB5" s="12">
        <v>10.0</v>
      </c>
      <c r="AC5" s="45">
        <f t="shared" si="6"/>
        <v>0</v>
      </c>
      <c r="AD5" s="12">
        <v>17.5</v>
      </c>
      <c r="AE5" s="12">
        <v>35.0</v>
      </c>
      <c r="AF5" s="45">
        <f t="shared" si="7"/>
        <v>1408.456747</v>
      </c>
    </row>
    <row r="6" ht="14.25" customHeight="1">
      <c r="A6" s="12">
        <v>3.0</v>
      </c>
      <c r="B6" s="12">
        <v>13.0</v>
      </c>
      <c r="C6" s="12">
        <v>10.0</v>
      </c>
      <c r="F6" s="44"/>
      <c r="H6" s="45"/>
      <c r="I6" s="12">
        <v>14.0</v>
      </c>
      <c r="J6" s="12">
        <v>13.0</v>
      </c>
      <c r="K6" s="45">
        <f t="shared" si="1"/>
        <v>2324.254848</v>
      </c>
      <c r="M6" s="44"/>
      <c r="O6" s="45"/>
      <c r="P6" s="12">
        <v>15.0</v>
      </c>
      <c r="Q6" s="12">
        <v>20.0</v>
      </c>
      <c r="R6" s="45">
        <f t="shared" si="3"/>
        <v>1940.891975</v>
      </c>
      <c r="T6" s="44"/>
      <c r="V6" s="45"/>
      <c r="W6" s="12">
        <v>17.5</v>
      </c>
      <c r="X6" s="12">
        <v>35.0</v>
      </c>
      <c r="Y6" s="45">
        <f t="shared" si="5"/>
        <v>1039.114187</v>
      </c>
      <c r="AA6" s="44">
        <v>13.0</v>
      </c>
      <c r="AB6" s="12">
        <v>10.0</v>
      </c>
      <c r="AC6" s="45"/>
      <c r="AD6" s="12">
        <v>18.0</v>
      </c>
      <c r="AE6" s="12">
        <v>44.0</v>
      </c>
      <c r="AF6" s="45">
        <f t="shared" si="7"/>
        <v>813.9273356</v>
      </c>
    </row>
    <row r="7" ht="14.25" customHeight="1">
      <c r="A7" s="12">
        <v>4.0</v>
      </c>
      <c r="B7" s="12">
        <v>14.0</v>
      </c>
      <c r="C7" s="12">
        <v>13.0</v>
      </c>
      <c r="F7" s="44"/>
      <c r="H7" s="45"/>
      <c r="I7" s="12">
        <v>15.0</v>
      </c>
      <c r="J7" s="12">
        <v>20.0</v>
      </c>
      <c r="K7" s="45">
        <f t="shared" si="1"/>
        <v>1698.307479</v>
      </c>
      <c r="M7" s="44"/>
      <c r="O7" s="45"/>
      <c r="P7" s="12">
        <v>17.5</v>
      </c>
      <c r="Q7" s="12">
        <v>35.0</v>
      </c>
      <c r="R7" s="45">
        <f t="shared" si="3"/>
        <v>844.2253086</v>
      </c>
      <c r="T7" s="44"/>
      <c r="V7" s="45"/>
      <c r="W7" s="12">
        <v>18.0</v>
      </c>
      <c r="X7" s="12">
        <v>44.0</v>
      </c>
      <c r="Y7" s="45">
        <f t="shared" si="5"/>
        <v>539.8788927</v>
      </c>
      <c r="AA7" s="44"/>
      <c r="AC7" s="45"/>
      <c r="AD7" s="12">
        <v>18.5</v>
      </c>
      <c r="AE7" s="12">
        <v>52.0</v>
      </c>
      <c r="AF7" s="45">
        <f t="shared" si="7"/>
        <v>421.4567474</v>
      </c>
    </row>
    <row r="8" ht="14.25" customHeight="1">
      <c r="A8" s="12">
        <v>5.0</v>
      </c>
      <c r="B8" s="12">
        <v>15.0</v>
      </c>
      <c r="C8" s="12">
        <v>20.0</v>
      </c>
      <c r="F8" s="44"/>
      <c r="H8" s="45"/>
      <c r="I8" s="12">
        <v>17.5</v>
      </c>
      <c r="J8" s="12">
        <v>35.0</v>
      </c>
      <c r="K8" s="45">
        <f t="shared" si="1"/>
        <v>686.9916898</v>
      </c>
      <c r="M8" s="44"/>
      <c r="O8" s="45"/>
      <c r="P8" s="12">
        <v>18.0</v>
      </c>
      <c r="Q8" s="12">
        <v>44.0</v>
      </c>
      <c r="R8" s="45">
        <f t="shared" si="3"/>
        <v>402.2253086</v>
      </c>
      <c r="T8" s="44"/>
      <c r="V8" s="45"/>
      <c r="W8" s="12">
        <v>18.5</v>
      </c>
      <c r="X8" s="12">
        <v>52.0</v>
      </c>
      <c r="Y8" s="45">
        <f t="shared" si="5"/>
        <v>232.1141869</v>
      </c>
      <c r="AA8" s="44"/>
      <c r="AC8" s="45"/>
      <c r="AD8" s="12">
        <v>19.0</v>
      </c>
      <c r="AE8" s="12">
        <v>55.0</v>
      </c>
      <c r="AF8" s="45">
        <f t="shared" si="7"/>
        <v>307.2802768</v>
      </c>
    </row>
    <row r="9" ht="14.25" customHeight="1">
      <c r="A9" s="12">
        <v>6.0</v>
      </c>
      <c r="B9" s="12">
        <v>17.5</v>
      </c>
      <c r="C9" s="12">
        <v>35.0</v>
      </c>
      <c r="F9" s="44"/>
      <c r="H9" s="45"/>
      <c r="I9" s="12">
        <v>18.0</v>
      </c>
      <c r="J9" s="12">
        <v>44.0</v>
      </c>
      <c r="K9" s="45">
        <f t="shared" si="1"/>
        <v>296.2022161</v>
      </c>
      <c r="M9" s="44"/>
      <c r="O9" s="45"/>
      <c r="P9" s="12">
        <v>18.5</v>
      </c>
      <c r="Q9" s="12">
        <v>52.0</v>
      </c>
      <c r="R9" s="45">
        <f t="shared" si="3"/>
        <v>145.3364198</v>
      </c>
      <c r="T9" s="44"/>
      <c r="V9" s="45"/>
      <c r="W9" s="12">
        <v>19.0</v>
      </c>
      <c r="X9" s="12">
        <v>55.0</v>
      </c>
      <c r="Y9" s="45">
        <f t="shared" si="5"/>
        <v>149.7024221</v>
      </c>
      <c r="AA9" s="44"/>
      <c r="AC9" s="45"/>
      <c r="AD9" s="12">
        <v>21.0</v>
      </c>
      <c r="AE9" s="12">
        <v>80.0</v>
      </c>
      <c r="AF9" s="45">
        <f t="shared" si="7"/>
        <v>55.80968858</v>
      </c>
    </row>
    <row r="10" ht="14.25" customHeight="1">
      <c r="A10" s="12">
        <v>7.0</v>
      </c>
      <c r="B10" s="12">
        <v>18.0</v>
      </c>
      <c r="C10" s="12">
        <v>44.0</v>
      </c>
      <c r="F10" s="44"/>
      <c r="H10" s="45"/>
      <c r="I10" s="12">
        <v>18.5</v>
      </c>
      <c r="J10" s="12">
        <v>52.0</v>
      </c>
      <c r="K10" s="45">
        <f t="shared" si="1"/>
        <v>84.83379501</v>
      </c>
      <c r="M10" s="44"/>
      <c r="O10" s="45"/>
      <c r="P10" s="12">
        <v>19.0</v>
      </c>
      <c r="Q10" s="12">
        <v>55.0</v>
      </c>
      <c r="R10" s="45">
        <f t="shared" si="3"/>
        <v>82.00308642</v>
      </c>
      <c r="T10" s="44"/>
      <c r="V10" s="45"/>
      <c r="W10" s="12">
        <v>21.0</v>
      </c>
      <c r="X10" s="12">
        <v>80.0</v>
      </c>
      <c r="Y10" s="45">
        <f t="shared" si="5"/>
        <v>162.9377163</v>
      </c>
      <c r="AA10" s="44"/>
      <c r="AC10" s="45"/>
      <c r="AD10" s="12">
        <v>22.0</v>
      </c>
      <c r="AE10" s="12">
        <v>83.0</v>
      </c>
      <c r="AF10" s="45">
        <f t="shared" si="7"/>
        <v>109.633218</v>
      </c>
    </row>
    <row r="11" ht="14.25" customHeight="1">
      <c r="A11" s="12">
        <v>8.0</v>
      </c>
      <c r="B11" s="12">
        <v>18.5</v>
      </c>
      <c r="C11" s="12">
        <v>52.0</v>
      </c>
      <c r="F11" s="44"/>
      <c r="H11" s="45"/>
      <c r="I11" s="12">
        <v>19.0</v>
      </c>
      <c r="J11" s="12">
        <v>55.0</v>
      </c>
      <c r="K11" s="45">
        <f t="shared" si="1"/>
        <v>38.57063712</v>
      </c>
      <c r="M11" s="44"/>
      <c r="O11" s="45"/>
      <c r="P11" s="12">
        <v>21.0</v>
      </c>
      <c r="Q11" s="12">
        <v>80.0</v>
      </c>
      <c r="R11" s="45">
        <f t="shared" si="3"/>
        <v>254.2253086</v>
      </c>
      <c r="T11" s="44"/>
      <c r="V11" s="45"/>
      <c r="W11" s="12">
        <v>22.0</v>
      </c>
      <c r="X11" s="12">
        <v>83.0</v>
      </c>
      <c r="Y11" s="45">
        <f t="shared" si="5"/>
        <v>248.5259516</v>
      </c>
      <c r="AA11" s="44"/>
      <c r="AC11" s="45"/>
      <c r="AD11" s="12">
        <v>23.0</v>
      </c>
      <c r="AE11" s="12">
        <v>83.0</v>
      </c>
      <c r="AF11" s="45">
        <f t="shared" si="7"/>
        <v>109.633218</v>
      </c>
    </row>
    <row r="12" ht="14.25" customHeight="1">
      <c r="A12" s="12">
        <v>9.0</v>
      </c>
      <c r="B12" s="12">
        <v>19.0</v>
      </c>
      <c r="C12" s="12">
        <v>55.0</v>
      </c>
      <c r="F12" s="44"/>
      <c r="H12" s="45"/>
      <c r="I12" s="12">
        <v>21.0</v>
      </c>
      <c r="J12" s="12">
        <v>80.0</v>
      </c>
      <c r="K12" s="45">
        <f t="shared" si="1"/>
        <v>353.0443213</v>
      </c>
      <c r="M12" s="44"/>
      <c r="O12" s="45"/>
      <c r="P12" s="12">
        <v>22.0</v>
      </c>
      <c r="Q12" s="12">
        <v>83.0</v>
      </c>
      <c r="R12" s="45">
        <f t="shared" si="3"/>
        <v>358.8919753</v>
      </c>
      <c r="T12" s="44"/>
      <c r="V12" s="45"/>
      <c r="W12" s="12">
        <v>23.0</v>
      </c>
      <c r="X12" s="12">
        <v>83.0</v>
      </c>
      <c r="Y12" s="45">
        <f t="shared" si="5"/>
        <v>248.5259516</v>
      </c>
      <c r="AA12" s="44"/>
      <c r="AC12" s="45"/>
      <c r="AD12" s="12">
        <v>24.0</v>
      </c>
      <c r="AE12" s="12">
        <v>83.0</v>
      </c>
      <c r="AF12" s="45">
        <f t="shared" si="7"/>
        <v>109.633218</v>
      </c>
    </row>
    <row r="13" ht="14.25" customHeight="1">
      <c r="A13" s="12">
        <v>10.0</v>
      </c>
      <c r="B13" s="12">
        <v>21.0</v>
      </c>
      <c r="C13" s="12">
        <v>80.0</v>
      </c>
      <c r="F13" s="44"/>
      <c r="H13" s="45"/>
      <c r="I13" s="12">
        <v>22.0</v>
      </c>
      <c r="J13" s="12">
        <v>83.0</v>
      </c>
      <c r="K13" s="45">
        <f t="shared" si="1"/>
        <v>474.7811634</v>
      </c>
      <c r="M13" s="44"/>
      <c r="O13" s="45"/>
      <c r="P13" s="12">
        <v>23.0</v>
      </c>
      <c r="Q13" s="12">
        <v>83.0</v>
      </c>
      <c r="R13" s="45">
        <f t="shared" si="3"/>
        <v>358.8919753</v>
      </c>
      <c r="T13" s="44"/>
      <c r="V13" s="45"/>
      <c r="W13" s="12">
        <v>24.0</v>
      </c>
      <c r="X13" s="12">
        <v>83.0</v>
      </c>
      <c r="Y13" s="45">
        <f t="shared" si="5"/>
        <v>248.5259516</v>
      </c>
      <c r="AA13" s="44"/>
      <c r="AC13" s="45"/>
      <c r="AD13" s="12">
        <v>25.0</v>
      </c>
      <c r="AE13" s="12">
        <v>85.0</v>
      </c>
      <c r="AF13" s="45">
        <f t="shared" si="7"/>
        <v>155.5155709</v>
      </c>
    </row>
    <row r="14" ht="14.25" customHeight="1">
      <c r="A14" s="12">
        <v>11.0</v>
      </c>
      <c r="B14" s="12">
        <v>22.0</v>
      </c>
      <c r="C14" s="12">
        <v>83.0</v>
      </c>
      <c r="F14" s="44"/>
      <c r="H14" s="45"/>
      <c r="I14" s="12">
        <v>23.0</v>
      </c>
      <c r="J14" s="12">
        <v>83.0</v>
      </c>
      <c r="K14" s="45">
        <f t="shared" si="1"/>
        <v>474.7811634</v>
      </c>
      <c r="M14" s="44"/>
      <c r="O14" s="45"/>
      <c r="P14" s="12">
        <v>24.0</v>
      </c>
      <c r="Q14" s="12">
        <v>83.0</v>
      </c>
      <c r="R14" s="45">
        <f t="shared" si="3"/>
        <v>358.8919753</v>
      </c>
      <c r="T14" s="44"/>
      <c r="V14" s="45"/>
      <c r="W14" s="12">
        <v>25.0</v>
      </c>
      <c r="X14" s="12">
        <v>85.0</v>
      </c>
      <c r="Y14" s="45">
        <f t="shared" si="5"/>
        <v>315.5847751</v>
      </c>
      <c r="AA14" s="44"/>
      <c r="AC14" s="45"/>
      <c r="AD14" s="12">
        <v>28.0</v>
      </c>
      <c r="AE14" s="12">
        <v>100.0</v>
      </c>
      <c r="AF14" s="45">
        <f t="shared" si="7"/>
        <v>754.633218</v>
      </c>
    </row>
    <row r="15" ht="14.25" customHeight="1">
      <c r="A15" s="12">
        <v>12.0</v>
      </c>
      <c r="B15" s="12">
        <v>23.0</v>
      </c>
      <c r="C15" s="12">
        <v>83.0</v>
      </c>
      <c r="F15" s="44"/>
      <c r="H15" s="45"/>
      <c r="I15" s="12">
        <v>24.0</v>
      </c>
      <c r="J15" s="12">
        <v>83.0</v>
      </c>
      <c r="K15" s="45">
        <f t="shared" si="1"/>
        <v>474.7811634</v>
      </c>
      <c r="M15" s="44"/>
      <c r="O15" s="45"/>
      <c r="P15" s="12">
        <v>25.0</v>
      </c>
      <c r="Q15" s="12">
        <v>85.0</v>
      </c>
      <c r="R15" s="45">
        <f t="shared" si="3"/>
        <v>438.6697531</v>
      </c>
      <c r="T15" s="44"/>
      <c r="V15" s="45"/>
      <c r="W15" s="12">
        <v>28.0</v>
      </c>
      <c r="X15" s="12">
        <v>100.0</v>
      </c>
      <c r="Y15" s="45">
        <f t="shared" si="5"/>
        <v>1073.525952</v>
      </c>
      <c r="AA15" s="44"/>
      <c r="AC15" s="45"/>
      <c r="AD15" s="12">
        <v>29.0</v>
      </c>
      <c r="AE15" s="12">
        <v>100.0</v>
      </c>
      <c r="AF15" s="45">
        <f t="shared" si="7"/>
        <v>754.633218</v>
      </c>
    </row>
    <row r="16" ht="14.25" customHeight="1">
      <c r="A16" s="12">
        <v>13.0</v>
      </c>
      <c r="B16" s="12">
        <v>24.0</v>
      </c>
      <c r="C16" s="12">
        <v>83.0</v>
      </c>
      <c r="F16" s="44"/>
      <c r="H16" s="45"/>
      <c r="I16" s="12">
        <v>25.0</v>
      </c>
      <c r="J16" s="12">
        <v>85.0</v>
      </c>
      <c r="K16" s="45">
        <f t="shared" si="1"/>
        <v>565.9390582</v>
      </c>
      <c r="M16" s="44"/>
      <c r="O16" s="45"/>
      <c r="P16" s="12">
        <v>28.0</v>
      </c>
      <c r="Q16" s="12">
        <v>100.0</v>
      </c>
      <c r="R16" s="45">
        <f t="shared" si="3"/>
        <v>1292.003086</v>
      </c>
      <c r="T16" s="44"/>
      <c r="V16" s="45"/>
      <c r="W16" s="12">
        <v>29.0</v>
      </c>
      <c r="X16" s="12">
        <v>100.0</v>
      </c>
      <c r="Y16" s="45">
        <f t="shared" si="5"/>
        <v>1073.525952</v>
      </c>
      <c r="AA16" s="44"/>
      <c r="AC16" s="45"/>
      <c r="AD16" s="12">
        <v>30.0</v>
      </c>
      <c r="AE16" s="12">
        <v>100.0</v>
      </c>
      <c r="AF16" s="45">
        <f t="shared" si="7"/>
        <v>754.633218</v>
      </c>
    </row>
    <row r="17" ht="14.25" customHeight="1">
      <c r="A17" s="12">
        <v>14.0</v>
      </c>
      <c r="B17" s="12">
        <v>25.0</v>
      </c>
      <c r="C17" s="12">
        <v>85.0</v>
      </c>
      <c r="F17" s="44"/>
      <c r="H17" s="45"/>
      <c r="I17" s="12">
        <v>28.0</v>
      </c>
      <c r="J17" s="12">
        <v>100.0</v>
      </c>
      <c r="K17" s="45">
        <f t="shared" si="1"/>
        <v>1504.623269</v>
      </c>
      <c r="M17" s="44"/>
      <c r="O17" s="45"/>
      <c r="P17" s="12">
        <v>29.0</v>
      </c>
      <c r="Q17" s="12">
        <v>100.0</v>
      </c>
      <c r="R17" s="45">
        <f t="shared" si="3"/>
        <v>1292.003086</v>
      </c>
      <c r="T17" s="44"/>
      <c r="V17" s="45"/>
      <c r="W17" s="12">
        <v>30.0</v>
      </c>
      <c r="X17" s="12">
        <v>100.0</v>
      </c>
      <c r="Y17" s="45">
        <f t="shared" si="5"/>
        <v>1073.525952</v>
      </c>
      <c r="AA17" s="44"/>
      <c r="AC17" s="45"/>
      <c r="AD17" s="12">
        <v>31.0</v>
      </c>
      <c r="AE17" s="12">
        <v>100.0</v>
      </c>
      <c r="AF17" s="45">
        <f t="shared" si="7"/>
        <v>754.633218</v>
      </c>
    </row>
    <row r="18" ht="14.25" customHeight="1">
      <c r="A18" s="12">
        <v>15.0</v>
      </c>
      <c r="B18" s="12">
        <v>28.0</v>
      </c>
      <c r="C18" s="12">
        <v>100.0</v>
      </c>
      <c r="F18" s="44"/>
      <c r="H18" s="45"/>
      <c r="I18" s="12">
        <v>29.0</v>
      </c>
      <c r="J18" s="12">
        <v>100.0</v>
      </c>
      <c r="K18" s="45">
        <f t="shared" si="1"/>
        <v>1504.623269</v>
      </c>
      <c r="M18" s="44"/>
      <c r="O18" s="45"/>
      <c r="P18" s="12">
        <v>30.0</v>
      </c>
      <c r="Q18" s="12">
        <v>100.0</v>
      </c>
      <c r="R18" s="45">
        <f t="shared" si="3"/>
        <v>1292.003086</v>
      </c>
      <c r="T18" s="44"/>
      <c r="V18" s="45"/>
      <c r="W18" s="12">
        <v>31.0</v>
      </c>
      <c r="X18" s="12">
        <v>100.0</v>
      </c>
      <c r="Y18" s="45">
        <f t="shared" si="5"/>
        <v>1073.525952</v>
      </c>
      <c r="AA18" s="44"/>
      <c r="AC18" s="45"/>
      <c r="AD18" s="12">
        <v>31.0</v>
      </c>
      <c r="AE18" s="12">
        <v>100.0</v>
      </c>
      <c r="AF18" s="45">
        <f t="shared" si="7"/>
        <v>754.633218</v>
      </c>
    </row>
    <row r="19" ht="14.25" customHeight="1">
      <c r="A19" s="12">
        <v>16.0</v>
      </c>
      <c r="B19" s="12">
        <v>29.0</v>
      </c>
      <c r="C19" s="12">
        <v>100.0</v>
      </c>
      <c r="F19" s="44"/>
      <c r="H19" s="45"/>
      <c r="I19" s="12">
        <v>30.0</v>
      </c>
      <c r="J19" s="12">
        <v>100.0</v>
      </c>
      <c r="K19" s="45">
        <f t="shared" si="1"/>
        <v>1504.623269</v>
      </c>
      <c r="M19" s="44"/>
      <c r="O19" s="45"/>
      <c r="P19" s="12">
        <v>31.0</v>
      </c>
      <c r="Q19" s="12">
        <v>100.0</v>
      </c>
      <c r="R19" s="45">
        <f t="shared" si="3"/>
        <v>1292.003086</v>
      </c>
      <c r="T19" s="44"/>
      <c r="V19" s="45"/>
      <c r="W19" s="12">
        <v>31.0</v>
      </c>
      <c r="X19" s="12">
        <v>100.0</v>
      </c>
      <c r="Y19" s="45">
        <f t="shared" si="5"/>
        <v>1073.525952</v>
      </c>
      <c r="AA19" s="44"/>
      <c r="AC19" s="45"/>
      <c r="AD19" s="12">
        <v>31.0</v>
      </c>
      <c r="AE19" s="12">
        <v>100.0</v>
      </c>
      <c r="AF19" s="45">
        <f t="shared" si="7"/>
        <v>754.633218</v>
      </c>
    </row>
    <row r="20" ht="14.25" customHeight="1">
      <c r="A20" s="12">
        <v>17.0</v>
      </c>
      <c r="B20" s="12">
        <v>30.0</v>
      </c>
      <c r="C20" s="12">
        <v>100.0</v>
      </c>
      <c r="F20" s="44"/>
      <c r="H20" s="45"/>
      <c r="I20" s="12">
        <v>31.0</v>
      </c>
      <c r="J20" s="12">
        <v>100.0</v>
      </c>
      <c r="K20" s="45">
        <f t="shared" si="1"/>
        <v>1504.623269</v>
      </c>
      <c r="M20" s="44"/>
      <c r="O20" s="45"/>
      <c r="P20" s="12">
        <v>31.0</v>
      </c>
      <c r="Q20" s="12">
        <v>100.0</v>
      </c>
      <c r="R20" s="45">
        <f t="shared" si="3"/>
        <v>1292.003086</v>
      </c>
      <c r="T20" s="44"/>
      <c r="V20" s="45"/>
      <c r="Y20" s="45"/>
      <c r="AA20" s="44"/>
      <c r="AC20" s="45"/>
      <c r="AF20" s="45"/>
    </row>
    <row r="21" ht="14.25" customHeight="1">
      <c r="A21" s="12">
        <v>18.0</v>
      </c>
      <c r="B21" s="12">
        <v>31.0</v>
      </c>
      <c r="C21" s="12">
        <v>100.0</v>
      </c>
      <c r="F21" s="44"/>
      <c r="H21" s="45"/>
      <c r="I21" s="12">
        <v>31.0</v>
      </c>
      <c r="J21" s="12">
        <v>100.0</v>
      </c>
      <c r="K21" s="45">
        <f t="shared" si="1"/>
        <v>1504.623269</v>
      </c>
      <c r="M21" s="44"/>
      <c r="O21" s="45"/>
      <c r="R21" s="45"/>
      <c r="T21" s="44"/>
      <c r="V21" s="45"/>
      <c r="Y21" s="45"/>
      <c r="AA21" s="44"/>
      <c r="AC21" s="45"/>
      <c r="AF21" s="45"/>
    </row>
    <row r="22" ht="14.25" customHeight="1">
      <c r="A22" s="12">
        <v>19.0</v>
      </c>
      <c r="B22" s="12">
        <v>31.0</v>
      </c>
      <c r="C22" s="12">
        <v>100.0</v>
      </c>
      <c r="F22" s="46"/>
      <c r="G22" s="47">
        <f>AVERAGE(G3:G21)</f>
        <v>10</v>
      </c>
      <c r="H22" s="48">
        <f>SUM(H3:H21)</f>
        <v>0</v>
      </c>
      <c r="I22" s="47"/>
      <c r="J22" s="47">
        <f>AVERAGE(J3:J21)</f>
        <v>61.21052632</v>
      </c>
      <c r="K22" s="48">
        <f>SUM(K3:K21)</f>
        <v>22863.15789</v>
      </c>
      <c r="M22" s="46"/>
      <c r="N22" s="47">
        <f>AVERAGE(N3:N21)</f>
        <v>10</v>
      </c>
      <c r="O22" s="48">
        <f>SUM(O3:O21)</f>
        <v>0</v>
      </c>
      <c r="P22" s="47"/>
      <c r="Q22" s="47">
        <f>AVERAGE(Q3:Q21)</f>
        <v>64.05555556</v>
      </c>
      <c r="R22" s="48">
        <f>SUM(R3:R21)</f>
        <v>20094.94444</v>
      </c>
      <c r="T22" s="46"/>
      <c r="U22" s="47">
        <f>AVERAGE(U3:U21)</f>
        <v>10</v>
      </c>
      <c r="V22" s="48">
        <f>SUM(V3:V21)</f>
        <v>0</v>
      </c>
      <c r="W22" s="47"/>
      <c r="X22" s="47">
        <f>AVERAGE(X3:X21)</f>
        <v>67.23529412</v>
      </c>
      <c r="Y22" s="48">
        <f>SUM(Y3:Y19)</f>
        <v>17001.05882</v>
      </c>
      <c r="AA22" s="46"/>
      <c r="AB22" s="47">
        <f>AVERAGE(AB3:AB21)</f>
        <v>10</v>
      </c>
      <c r="AC22" s="48">
        <f>SUM(AC3:AC21)</f>
        <v>0</v>
      </c>
      <c r="AD22" s="47"/>
      <c r="AE22" s="47">
        <f>AVERAGE(AE3:AE21)</f>
        <v>72.52941176</v>
      </c>
      <c r="AF22" s="48">
        <f>SUM(AF3:AF19)</f>
        <v>14322.23529</v>
      </c>
    </row>
    <row r="23" ht="14.25" customHeight="1"/>
    <row r="24" ht="14.25" customHeight="1">
      <c r="I24" s="12" t="s">
        <v>86</v>
      </c>
    </row>
    <row r="25" ht="14.25" customHeight="1"/>
    <row r="26" ht="14.25" customHeight="1">
      <c r="G26" s="12" t="s">
        <v>87</v>
      </c>
      <c r="H26" s="12" t="s">
        <v>88</v>
      </c>
    </row>
    <row r="27" ht="14.25" customHeight="1">
      <c r="G27" s="12">
        <v>10.0</v>
      </c>
      <c r="H27" s="12">
        <f>H22+K22</f>
        <v>22863.15789</v>
      </c>
    </row>
    <row r="28" ht="14.25" customHeight="1">
      <c r="G28" s="12">
        <v>11.0</v>
      </c>
      <c r="H28" s="12">
        <f>O22+R22</f>
        <v>20094.94444</v>
      </c>
    </row>
    <row r="29" ht="14.25" customHeight="1">
      <c r="G29" s="12">
        <v>12.0</v>
      </c>
      <c r="H29" s="12">
        <f>V22+Y22</f>
        <v>17001.05882</v>
      </c>
    </row>
    <row r="30" ht="14.25" customHeight="1">
      <c r="G30" s="12">
        <v>13.0</v>
      </c>
      <c r="H30" s="12">
        <f>AF22</f>
        <v>14322.23529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>
      <c r="A68" s="3"/>
      <c r="B68" s="3" t="s">
        <v>82</v>
      </c>
      <c r="C68" s="3" t="s">
        <v>83</v>
      </c>
      <c r="F68" s="40" t="s">
        <v>89</v>
      </c>
      <c r="M68" s="40" t="s">
        <v>89</v>
      </c>
    </row>
    <row r="69" ht="14.25" customHeight="1">
      <c r="A69" s="12">
        <v>0.0</v>
      </c>
      <c r="B69" s="12">
        <v>10.0</v>
      </c>
      <c r="C69" s="12">
        <v>10.0</v>
      </c>
      <c r="F69" s="49" t="s">
        <v>84</v>
      </c>
      <c r="G69" s="49" t="s">
        <v>83</v>
      </c>
      <c r="H69" s="49" t="s">
        <v>85</v>
      </c>
      <c r="I69" s="49" t="s">
        <v>84</v>
      </c>
      <c r="J69" s="49" t="s">
        <v>83</v>
      </c>
      <c r="K69" s="49" t="s">
        <v>85</v>
      </c>
      <c r="M69" s="49" t="s">
        <v>84</v>
      </c>
      <c r="N69" s="49" t="s">
        <v>83</v>
      </c>
      <c r="O69" s="49" t="s">
        <v>85</v>
      </c>
      <c r="P69" s="49" t="s">
        <v>84</v>
      </c>
      <c r="Q69" s="49" t="s">
        <v>83</v>
      </c>
      <c r="R69" s="49" t="s">
        <v>85</v>
      </c>
    </row>
    <row r="70" ht="14.25" customHeight="1">
      <c r="A70" s="12">
        <v>1.0</v>
      </c>
      <c r="B70" s="12">
        <v>11.0</v>
      </c>
      <c r="C70" s="12">
        <v>10.0</v>
      </c>
      <c r="F70" s="12">
        <v>10.0</v>
      </c>
      <c r="G70" s="12">
        <v>10.0</v>
      </c>
      <c r="H70" s="12">
        <f>(G70-G$78)^2</f>
        <v>0</v>
      </c>
      <c r="I70" s="12">
        <v>11.0</v>
      </c>
      <c r="J70" s="12">
        <v>10.0</v>
      </c>
      <c r="K70" s="12">
        <f t="shared" ref="K70:K77" si="8">(J70-J$78)^2</f>
        <v>203.0625</v>
      </c>
      <c r="M70" s="12">
        <v>10.0</v>
      </c>
      <c r="N70" s="12">
        <v>10.0</v>
      </c>
      <c r="O70" s="12">
        <f t="shared" ref="O70:O71" si="9">(N70-N$78)^2</f>
        <v>0</v>
      </c>
      <c r="P70" s="12">
        <v>12.0</v>
      </c>
      <c r="Q70" s="12">
        <v>10.0</v>
      </c>
      <c r="R70" s="12">
        <f t="shared" ref="R70:R76" si="10">(Q70-Q$78)^2</f>
        <v>265.2244898</v>
      </c>
    </row>
    <row r="71" ht="14.25" customHeight="1">
      <c r="A71" s="12">
        <v>2.0</v>
      </c>
      <c r="B71" s="12">
        <v>12.0</v>
      </c>
      <c r="C71" s="12">
        <v>10.0</v>
      </c>
      <c r="I71" s="12">
        <v>12.0</v>
      </c>
      <c r="J71" s="12">
        <v>10.0</v>
      </c>
      <c r="K71" s="12">
        <f t="shared" si="8"/>
        <v>203.0625</v>
      </c>
      <c r="M71" s="12">
        <v>11.0</v>
      </c>
      <c r="N71" s="12">
        <v>10.0</v>
      </c>
      <c r="O71" s="12">
        <f t="shared" si="9"/>
        <v>0</v>
      </c>
      <c r="P71" s="12">
        <v>13.0</v>
      </c>
      <c r="Q71" s="12">
        <v>10.0</v>
      </c>
      <c r="R71" s="12">
        <f t="shared" si="10"/>
        <v>265.2244898</v>
      </c>
    </row>
    <row r="72" ht="14.25" customHeight="1">
      <c r="A72" s="12">
        <v>3.0</v>
      </c>
      <c r="B72" s="12">
        <v>13.0</v>
      </c>
      <c r="C72" s="12">
        <v>10.0</v>
      </c>
      <c r="I72" s="12">
        <v>13.0</v>
      </c>
      <c r="J72" s="12">
        <v>10.0</v>
      </c>
      <c r="K72" s="12">
        <f t="shared" si="8"/>
        <v>203.0625</v>
      </c>
      <c r="P72" s="12">
        <v>14.0</v>
      </c>
      <c r="Q72" s="12">
        <v>13.0</v>
      </c>
      <c r="R72" s="12">
        <f t="shared" si="10"/>
        <v>176.5102041</v>
      </c>
    </row>
    <row r="73" ht="14.25" customHeight="1">
      <c r="A73" s="12">
        <v>4.0</v>
      </c>
      <c r="B73" s="12">
        <v>14.0</v>
      </c>
      <c r="C73" s="12">
        <v>13.0</v>
      </c>
      <c r="I73" s="12">
        <v>14.0</v>
      </c>
      <c r="J73" s="12">
        <v>13.0</v>
      </c>
      <c r="K73" s="12">
        <f t="shared" si="8"/>
        <v>126.5625</v>
      </c>
      <c r="P73" s="12">
        <v>15.0</v>
      </c>
      <c r="Q73" s="12">
        <v>20.0</v>
      </c>
      <c r="R73" s="12">
        <f t="shared" si="10"/>
        <v>39.51020408</v>
      </c>
    </row>
    <row r="74" ht="14.25" customHeight="1">
      <c r="A74" s="12">
        <v>5.0</v>
      </c>
      <c r="B74" s="12">
        <v>15.0</v>
      </c>
      <c r="C74" s="12">
        <v>20.0</v>
      </c>
      <c r="I74" s="12">
        <v>15.0</v>
      </c>
      <c r="J74" s="12">
        <v>20.0</v>
      </c>
      <c r="K74" s="12">
        <f t="shared" si="8"/>
        <v>18.0625</v>
      </c>
      <c r="P74" s="12">
        <v>17.5</v>
      </c>
      <c r="Q74" s="12">
        <v>35.0</v>
      </c>
      <c r="R74" s="12">
        <f t="shared" si="10"/>
        <v>75.93877551</v>
      </c>
    </row>
    <row r="75" ht="14.25" customHeight="1">
      <c r="A75" s="12">
        <v>6.0</v>
      </c>
      <c r="B75" s="12">
        <v>17.5</v>
      </c>
      <c r="C75" s="12">
        <v>35.0</v>
      </c>
      <c r="I75" s="12">
        <v>17.5</v>
      </c>
      <c r="J75" s="12">
        <v>35.0</v>
      </c>
      <c r="K75" s="12">
        <f t="shared" si="8"/>
        <v>115.5625</v>
      </c>
      <c r="P75" s="12">
        <v>18.0</v>
      </c>
      <c r="Q75" s="12">
        <v>44.0</v>
      </c>
      <c r="R75" s="12">
        <f t="shared" si="10"/>
        <v>313.7959184</v>
      </c>
    </row>
    <row r="76" ht="14.25" customHeight="1">
      <c r="A76" s="12">
        <v>7.0</v>
      </c>
      <c r="B76" s="12">
        <v>18.0</v>
      </c>
      <c r="C76" s="12">
        <v>44.0</v>
      </c>
      <c r="I76" s="12">
        <v>18.0</v>
      </c>
      <c r="J76" s="12">
        <v>44.0</v>
      </c>
      <c r="K76" s="12">
        <f t="shared" si="8"/>
        <v>390.0625</v>
      </c>
      <c r="P76" s="12">
        <v>18.5</v>
      </c>
      <c r="Q76" s="12">
        <v>52.0</v>
      </c>
      <c r="R76" s="12">
        <f t="shared" si="10"/>
        <v>661.2244898</v>
      </c>
    </row>
    <row r="77" ht="14.25" customHeight="1">
      <c r="A77" s="12">
        <v>8.0</v>
      </c>
      <c r="B77" s="12">
        <v>18.5</v>
      </c>
      <c r="C77" s="12">
        <v>52.0</v>
      </c>
      <c r="I77" s="12">
        <v>18.5</v>
      </c>
      <c r="J77" s="12">
        <v>52.0</v>
      </c>
      <c r="K77" s="12">
        <f t="shared" si="8"/>
        <v>770.0625</v>
      </c>
    </row>
    <row r="78" ht="14.25" customHeight="1">
      <c r="G78" s="12">
        <f>AVERAGE(G70:G77)</f>
        <v>10</v>
      </c>
      <c r="H78" s="12">
        <f>SUM(H70:H77)</f>
        <v>0</v>
      </c>
      <c r="J78" s="12">
        <f>AVERAGE(J70:J77)</f>
        <v>24.25</v>
      </c>
      <c r="K78" s="12">
        <f>SUM(K70:K77)</f>
        <v>2029.5</v>
      </c>
      <c r="N78" s="12">
        <f>AVERAGE(N70:N77)</f>
        <v>10</v>
      </c>
      <c r="O78" s="12">
        <f>SUM(O70:O77)</f>
        <v>0</v>
      </c>
      <c r="Q78" s="12">
        <f>AVERAGE(Q70:Q76)</f>
        <v>26.28571429</v>
      </c>
      <c r="R78" s="12">
        <f>SUM(R70:R77)</f>
        <v>1797.428571</v>
      </c>
    </row>
    <row r="79" ht="14.25" customHeight="1">
      <c r="A79" s="3"/>
      <c r="B79" s="3" t="s">
        <v>82</v>
      </c>
      <c r="C79" s="3" t="s">
        <v>83</v>
      </c>
    </row>
    <row r="80" ht="14.25" customHeight="1">
      <c r="A80" s="12">
        <v>9.0</v>
      </c>
      <c r="B80" s="12">
        <v>19.0</v>
      </c>
      <c r="C80" s="12">
        <v>55.0</v>
      </c>
    </row>
    <row r="81" ht="14.25" customHeight="1">
      <c r="A81" s="12">
        <v>10.0</v>
      </c>
      <c r="B81" s="12">
        <v>21.0</v>
      </c>
      <c r="C81" s="12">
        <v>80.0</v>
      </c>
    </row>
    <row r="82" ht="14.25" customHeight="1">
      <c r="A82" s="12">
        <v>11.0</v>
      </c>
      <c r="B82" s="12">
        <v>22.0</v>
      </c>
      <c r="C82" s="12">
        <v>83.0</v>
      </c>
    </row>
    <row r="83" ht="14.25" customHeight="1">
      <c r="A83" s="12">
        <v>12.0</v>
      </c>
      <c r="B83" s="12">
        <v>23.0</v>
      </c>
      <c r="C83" s="12">
        <v>83.0</v>
      </c>
    </row>
    <row r="84" ht="14.25" customHeight="1">
      <c r="A84" s="12">
        <v>13.0</v>
      </c>
      <c r="B84" s="12">
        <v>24.0</v>
      </c>
      <c r="C84" s="12">
        <v>83.0</v>
      </c>
    </row>
    <row r="85" ht="14.25" customHeight="1">
      <c r="A85" s="12">
        <v>14.0</v>
      </c>
      <c r="B85" s="12">
        <v>25.0</v>
      </c>
      <c r="C85" s="12">
        <v>85.0</v>
      </c>
    </row>
    <row r="86" ht="14.25" customHeight="1">
      <c r="A86" s="12">
        <v>15.0</v>
      </c>
      <c r="B86" s="12">
        <v>28.0</v>
      </c>
      <c r="C86" s="12">
        <v>100.0</v>
      </c>
    </row>
    <row r="87" ht="14.25" customHeight="1">
      <c r="A87" s="12">
        <v>16.0</v>
      </c>
      <c r="B87" s="12">
        <v>29.0</v>
      </c>
      <c r="C87" s="12">
        <v>100.0</v>
      </c>
    </row>
    <row r="88" ht="14.25" customHeight="1">
      <c r="A88" s="12">
        <v>17.0</v>
      </c>
      <c r="B88" s="12">
        <v>30.0</v>
      </c>
      <c r="C88" s="12">
        <v>100.0</v>
      </c>
    </row>
    <row r="89" ht="14.25" customHeight="1">
      <c r="A89" s="12">
        <v>18.0</v>
      </c>
      <c r="B89" s="12">
        <v>31.0</v>
      </c>
      <c r="C89" s="12">
        <v>100.0</v>
      </c>
    </row>
    <row r="90" ht="14.25" customHeight="1">
      <c r="A90" s="12">
        <v>19.0</v>
      </c>
      <c r="B90" s="12">
        <v>31.0</v>
      </c>
      <c r="C90" s="12">
        <v>100.0</v>
      </c>
    </row>
    <row r="91" ht="14.25" customHeight="1"/>
    <row r="92" ht="14.25" customHeight="1"/>
    <row r="93" ht="14.25" customHeight="1"/>
    <row r="94" ht="14.25" customHeight="1"/>
    <row r="95" ht="14.25" customHeight="1">
      <c r="A95" s="50" t="s">
        <v>90</v>
      </c>
      <c r="B95" s="51" t="s">
        <v>91</v>
      </c>
      <c r="C95" s="52" t="s">
        <v>82</v>
      </c>
      <c r="D95" s="53" t="s">
        <v>83</v>
      </c>
    </row>
    <row r="96" ht="14.25" customHeight="1">
      <c r="A96" s="14" t="s">
        <v>3</v>
      </c>
      <c r="B96" s="54"/>
      <c r="C96" s="55">
        <v>10.0</v>
      </c>
      <c r="D96" s="14">
        <v>10.0</v>
      </c>
    </row>
    <row r="97" ht="14.25" customHeight="1">
      <c r="A97" s="56"/>
      <c r="B97" s="57"/>
      <c r="C97" s="58">
        <v>11.0</v>
      </c>
      <c r="D97" s="16">
        <v>10.0</v>
      </c>
    </row>
    <row r="98" ht="14.25" customHeight="1">
      <c r="A98" s="56"/>
      <c r="B98" s="57"/>
      <c r="C98" s="58">
        <v>12.0</v>
      </c>
      <c r="D98" s="16">
        <v>10.0</v>
      </c>
    </row>
    <row r="99" ht="14.25" customHeight="1">
      <c r="A99" s="56"/>
      <c r="B99" s="57"/>
      <c r="C99" s="58">
        <v>13.0</v>
      </c>
      <c r="D99" s="16">
        <v>10.0</v>
      </c>
    </row>
    <row r="100" ht="14.25" customHeight="1">
      <c r="A100" s="56"/>
      <c r="B100" s="57"/>
      <c r="C100" s="58">
        <v>14.0</v>
      </c>
      <c r="D100" s="16">
        <v>13.0</v>
      </c>
    </row>
    <row r="101" ht="14.25" customHeight="1">
      <c r="A101" s="56"/>
      <c r="B101" s="57"/>
      <c r="C101" s="58">
        <v>15.0</v>
      </c>
      <c r="D101" s="16">
        <v>20.0</v>
      </c>
    </row>
    <row r="102" ht="14.25" customHeight="1">
      <c r="A102" s="56"/>
      <c r="B102" s="57"/>
      <c r="C102" s="58">
        <v>17.5</v>
      </c>
      <c r="D102" s="16">
        <v>35.0</v>
      </c>
    </row>
    <row r="103" ht="14.25" customHeight="1">
      <c r="A103" s="56"/>
      <c r="B103" s="57"/>
      <c r="C103" s="58">
        <v>18.0</v>
      </c>
      <c r="D103" s="16">
        <v>44.0</v>
      </c>
    </row>
    <row r="104" ht="14.25" customHeight="1">
      <c r="A104" s="56"/>
      <c r="B104" s="57"/>
      <c r="C104" s="58">
        <v>18.5</v>
      </c>
      <c r="D104" s="16">
        <v>52.0</v>
      </c>
    </row>
    <row r="105" ht="14.25" customHeight="1">
      <c r="A105" s="59"/>
      <c r="B105" s="60"/>
      <c r="C105" s="61">
        <v>19.0</v>
      </c>
      <c r="D105" s="20">
        <v>55.0</v>
      </c>
    </row>
    <row r="106" ht="14.25" customHeight="1">
      <c r="A106" s="14" t="s">
        <v>4</v>
      </c>
      <c r="B106" s="54"/>
      <c r="C106" s="55">
        <v>21.0</v>
      </c>
      <c r="D106" s="14">
        <v>80.0</v>
      </c>
    </row>
    <row r="107" ht="14.25" customHeight="1">
      <c r="A107" s="56"/>
      <c r="B107" s="57"/>
      <c r="C107" s="58">
        <v>22.0</v>
      </c>
      <c r="D107" s="16">
        <v>83.0</v>
      </c>
    </row>
    <row r="108" ht="14.25" customHeight="1">
      <c r="A108" s="56"/>
      <c r="B108" s="57"/>
      <c r="C108" s="58">
        <v>23.0</v>
      </c>
      <c r="D108" s="16">
        <v>83.0</v>
      </c>
    </row>
    <row r="109" ht="14.25" customHeight="1">
      <c r="A109" s="56"/>
      <c r="B109" s="57"/>
      <c r="C109" s="58">
        <v>24.0</v>
      </c>
      <c r="D109" s="16">
        <v>83.0</v>
      </c>
    </row>
    <row r="110" ht="14.25" customHeight="1">
      <c r="A110" s="56"/>
      <c r="B110" s="57"/>
      <c r="C110" s="58">
        <v>25.0</v>
      </c>
      <c r="D110" s="16">
        <v>85.0</v>
      </c>
    </row>
    <row r="111" ht="14.25" customHeight="1">
      <c r="A111" s="56"/>
      <c r="B111" s="57"/>
      <c r="C111" s="58">
        <v>28.0</v>
      </c>
      <c r="D111" s="16">
        <v>100.0</v>
      </c>
    </row>
    <row r="112" ht="14.25" customHeight="1">
      <c r="A112" s="56"/>
      <c r="B112" s="57"/>
      <c r="C112" s="58">
        <v>29.0</v>
      </c>
      <c r="D112" s="16">
        <v>100.0</v>
      </c>
    </row>
    <row r="113" ht="14.25" customHeight="1">
      <c r="A113" s="56"/>
      <c r="B113" s="57"/>
      <c r="C113" s="58">
        <v>30.0</v>
      </c>
      <c r="D113" s="16">
        <v>100.0</v>
      </c>
    </row>
    <row r="114" ht="14.25" customHeight="1">
      <c r="A114" s="56"/>
      <c r="B114" s="57"/>
      <c r="C114" s="58">
        <v>31.0</v>
      </c>
      <c r="D114" s="16">
        <v>100.0</v>
      </c>
    </row>
    <row r="115" ht="14.25" customHeight="1">
      <c r="A115" s="59"/>
      <c r="B115" s="57"/>
      <c r="C115" s="61">
        <v>31.0</v>
      </c>
      <c r="D115" s="20">
        <v>100.0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>
      <c r="A121" s="50" t="s">
        <v>90</v>
      </c>
      <c r="B121" s="62" t="s">
        <v>91</v>
      </c>
      <c r="C121" s="52" t="s">
        <v>82</v>
      </c>
      <c r="D121" s="53" t="s">
        <v>83</v>
      </c>
      <c r="E121" s="63" t="s">
        <v>92</v>
      </c>
    </row>
    <row r="122" ht="14.25" customHeight="1">
      <c r="A122" s="64" t="s">
        <v>3</v>
      </c>
      <c r="B122" s="65" t="s">
        <v>3</v>
      </c>
      <c r="C122" s="66">
        <v>10.0</v>
      </c>
      <c r="D122" s="67">
        <v>10.0</v>
      </c>
      <c r="E122" s="65">
        <f>AVERAGE(D122:D127)</f>
        <v>12.16666667</v>
      </c>
    </row>
    <row r="123" ht="14.25" customHeight="1">
      <c r="A123" s="56"/>
      <c r="B123" s="56"/>
      <c r="C123" s="68">
        <v>11.0</v>
      </c>
      <c r="D123" s="69">
        <v>10.0</v>
      </c>
      <c r="E123" s="56"/>
    </row>
    <row r="124" ht="14.25" customHeight="1">
      <c r="A124" s="56"/>
      <c r="B124" s="56"/>
      <c r="C124" s="68">
        <v>12.0</v>
      </c>
      <c r="D124" s="69">
        <v>10.0</v>
      </c>
      <c r="E124" s="56"/>
    </row>
    <row r="125" ht="14.25" customHeight="1">
      <c r="A125" s="56"/>
      <c r="B125" s="56"/>
      <c r="C125" s="68">
        <v>13.0</v>
      </c>
      <c r="D125" s="69">
        <v>10.0</v>
      </c>
      <c r="E125" s="56"/>
    </row>
    <row r="126" ht="14.25" customHeight="1">
      <c r="A126" s="56"/>
      <c r="B126" s="56"/>
      <c r="C126" s="68">
        <v>14.0</v>
      </c>
      <c r="D126" s="69">
        <v>13.0</v>
      </c>
      <c r="E126" s="56"/>
    </row>
    <row r="127" ht="14.25" customHeight="1">
      <c r="A127" s="56"/>
      <c r="B127" s="59"/>
      <c r="C127" s="70">
        <v>15.0</v>
      </c>
      <c r="D127" s="71">
        <v>20.0</v>
      </c>
      <c r="E127" s="59"/>
    </row>
    <row r="128" ht="14.25" customHeight="1">
      <c r="A128" s="56"/>
      <c r="B128" s="72" t="s">
        <v>4</v>
      </c>
      <c r="C128" s="73">
        <v>17.5</v>
      </c>
      <c r="D128" s="74">
        <v>35.0</v>
      </c>
      <c r="E128" s="72">
        <f>AVERAGE(D128:D131)</f>
        <v>46.5</v>
      </c>
    </row>
    <row r="129" ht="14.25" customHeight="1">
      <c r="A129" s="56"/>
      <c r="B129" s="56"/>
      <c r="C129" s="73">
        <v>18.0</v>
      </c>
      <c r="D129" s="74">
        <v>44.0</v>
      </c>
      <c r="E129" s="56"/>
    </row>
    <row r="130" ht="14.25" customHeight="1">
      <c r="A130" s="56"/>
      <c r="B130" s="56"/>
      <c r="C130" s="73">
        <v>18.5</v>
      </c>
      <c r="D130" s="74">
        <v>52.0</v>
      </c>
      <c r="E130" s="56"/>
    </row>
    <row r="131" ht="14.25" customHeight="1">
      <c r="A131" s="59"/>
      <c r="B131" s="59"/>
      <c r="C131" s="75">
        <v>19.0</v>
      </c>
      <c r="D131" s="76">
        <v>55.0</v>
      </c>
      <c r="E131" s="59"/>
    </row>
    <row r="132" ht="14.25" customHeight="1">
      <c r="A132" s="77" t="s">
        <v>4</v>
      </c>
      <c r="B132" s="65" t="s">
        <v>3</v>
      </c>
      <c r="C132" s="66">
        <v>21.0</v>
      </c>
      <c r="D132" s="67">
        <v>80.0</v>
      </c>
      <c r="E132" s="65">
        <f>AVERAGE(D132:D136)</f>
        <v>82.8</v>
      </c>
    </row>
    <row r="133" ht="14.25" customHeight="1">
      <c r="A133" s="56"/>
      <c r="B133" s="56"/>
      <c r="C133" s="68">
        <v>22.0</v>
      </c>
      <c r="D133" s="69">
        <v>83.0</v>
      </c>
      <c r="E133" s="56"/>
    </row>
    <row r="134" ht="14.25" customHeight="1">
      <c r="A134" s="56"/>
      <c r="B134" s="56"/>
      <c r="C134" s="68">
        <v>23.0</v>
      </c>
      <c r="D134" s="69">
        <v>83.0</v>
      </c>
      <c r="E134" s="56"/>
    </row>
    <row r="135" ht="14.25" customHeight="1">
      <c r="A135" s="56"/>
      <c r="B135" s="56"/>
      <c r="C135" s="68">
        <v>24.0</v>
      </c>
      <c r="D135" s="69">
        <v>83.0</v>
      </c>
      <c r="E135" s="56"/>
    </row>
    <row r="136" ht="14.25" customHeight="1">
      <c r="A136" s="56"/>
      <c r="B136" s="59"/>
      <c r="C136" s="68">
        <v>25.0</v>
      </c>
      <c r="D136" s="69">
        <v>85.0</v>
      </c>
      <c r="E136" s="59"/>
    </row>
    <row r="137" ht="14.25" customHeight="1">
      <c r="A137" s="56"/>
      <c r="B137" s="72" t="s">
        <v>4</v>
      </c>
      <c r="C137" s="78">
        <v>28.0</v>
      </c>
      <c r="D137" s="79">
        <v>100.0</v>
      </c>
      <c r="E137" s="72">
        <f>AVERAGE(D137:D141)</f>
        <v>100</v>
      </c>
    </row>
    <row r="138" ht="14.25" customHeight="1">
      <c r="A138" s="56"/>
      <c r="B138" s="56"/>
      <c r="C138" s="73">
        <v>29.0</v>
      </c>
      <c r="D138" s="74">
        <v>100.0</v>
      </c>
      <c r="E138" s="56"/>
    </row>
    <row r="139" ht="14.25" customHeight="1">
      <c r="A139" s="56"/>
      <c r="B139" s="56"/>
      <c r="C139" s="73">
        <v>30.0</v>
      </c>
      <c r="D139" s="74">
        <v>100.0</v>
      </c>
      <c r="E139" s="56"/>
    </row>
    <row r="140" ht="14.25" customHeight="1">
      <c r="A140" s="56"/>
      <c r="B140" s="56"/>
      <c r="C140" s="73">
        <v>31.0</v>
      </c>
      <c r="D140" s="74">
        <v>100.0</v>
      </c>
      <c r="E140" s="56"/>
    </row>
    <row r="141" ht="14.25" customHeight="1">
      <c r="A141" s="59"/>
      <c r="B141" s="59"/>
      <c r="C141" s="75">
        <v>31.0</v>
      </c>
      <c r="D141" s="76">
        <v>100.0</v>
      </c>
      <c r="E141" s="59"/>
    </row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>
      <c r="B153" s="3"/>
      <c r="C153" s="3" t="s">
        <v>82</v>
      </c>
      <c r="D153" s="3" t="s">
        <v>83</v>
      </c>
      <c r="H153" s="3" t="s">
        <v>82</v>
      </c>
      <c r="I153" s="3" t="s">
        <v>83</v>
      </c>
    </row>
    <row r="154" ht="14.25" customHeight="1">
      <c r="B154" s="12">
        <v>0.0</v>
      </c>
      <c r="C154" s="12">
        <v>10.0</v>
      </c>
      <c r="D154" s="12">
        <v>10.0</v>
      </c>
      <c r="G154" s="12">
        <v>10.0</v>
      </c>
      <c r="H154" s="12">
        <v>21.0</v>
      </c>
      <c r="I154" s="12">
        <v>80.0</v>
      </c>
    </row>
    <row r="155" ht="14.25" customHeight="1">
      <c r="B155" s="12">
        <v>1.0</v>
      </c>
      <c r="C155" s="12">
        <v>11.0</v>
      </c>
      <c r="D155" s="12">
        <v>10.0</v>
      </c>
      <c r="G155" s="12">
        <v>11.0</v>
      </c>
      <c r="H155" s="12">
        <v>22.0</v>
      </c>
      <c r="I155" s="12">
        <v>83.0</v>
      </c>
    </row>
    <row r="156" ht="14.25" customHeight="1">
      <c r="B156" s="12">
        <v>2.0</v>
      </c>
      <c r="C156" s="12">
        <v>12.0</v>
      </c>
      <c r="D156" s="12">
        <v>10.0</v>
      </c>
      <c r="G156" s="12">
        <v>12.0</v>
      </c>
      <c r="H156" s="12">
        <v>23.0</v>
      </c>
      <c r="I156" s="12">
        <v>83.0</v>
      </c>
    </row>
    <row r="157" ht="14.25" customHeight="1">
      <c r="B157" s="12">
        <v>3.0</v>
      </c>
      <c r="C157" s="12">
        <v>13.0</v>
      </c>
      <c r="D157" s="12">
        <v>10.0</v>
      </c>
      <c r="G157" s="12">
        <v>13.0</v>
      </c>
      <c r="H157" s="12">
        <v>24.0</v>
      </c>
      <c r="I157" s="12">
        <v>83.0</v>
      </c>
    </row>
    <row r="158" ht="14.25" customHeight="1">
      <c r="B158" s="12">
        <v>4.0</v>
      </c>
      <c r="C158" s="12">
        <v>14.0</v>
      </c>
      <c r="D158" s="12">
        <v>13.0</v>
      </c>
      <c r="G158" s="12">
        <v>14.0</v>
      </c>
      <c r="H158" s="12">
        <v>25.0</v>
      </c>
      <c r="I158" s="12">
        <v>85.0</v>
      </c>
    </row>
    <row r="159" ht="14.25" customHeight="1">
      <c r="B159" s="12">
        <v>5.0</v>
      </c>
      <c r="C159" s="12">
        <v>15.0</v>
      </c>
      <c r="D159" s="12">
        <v>20.0</v>
      </c>
      <c r="G159" s="12">
        <v>15.0</v>
      </c>
      <c r="H159" s="12">
        <v>28.0</v>
      </c>
      <c r="I159" s="12">
        <v>100.0</v>
      </c>
    </row>
    <row r="160" ht="14.25" customHeight="1">
      <c r="B160" s="12">
        <v>6.0</v>
      </c>
      <c r="C160" s="12">
        <v>17.5</v>
      </c>
      <c r="D160" s="12">
        <v>35.0</v>
      </c>
      <c r="G160" s="12">
        <v>16.0</v>
      </c>
      <c r="H160" s="12">
        <v>29.0</v>
      </c>
      <c r="I160" s="12">
        <v>100.0</v>
      </c>
    </row>
    <row r="161" ht="14.25" customHeight="1">
      <c r="B161" s="12">
        <v>7.0</v>
      </c>
      <c r="C161" s="12">
        <v>18.0</v>
      </c>
      <c r="D161" s="12">
        <v>44.0</v>
      </c>
      <c r="G161" s="12">
        <v>17.0</v>
      </c>
      <c r="H161" s="12">
        <v>30.0</v>
      </c>
      <c r="I161" s="12">
        <v>100.0</v>
      </c>
    </row>
    <row r="162" ht="14.25" customHeight="1">
      <c r="B162" s="12">
        <v>8.0</v>
      </c>
      <c r="C162" s="12">
        <v>18.5</v>
      </c>
      <c r="D162" s="12">
        <v>52.0</v>
      </c>
      <c r="G162" s="12">
        <v>18.0</v>
      </c>
      <c r="H162" s="12">
        <v>31.0</v>
      </c>
      <c r="I162" s="12">
        <v>100.0</v>
      </c>
    </row>
    <row r="163" ht="14.25" customHeight="1">
      <c r="B163" s="12">
        <v>9.0</v>
      </c>
      <c r="C163" s="12">
        <v>19.0</v>
      </c>
      <c r="D163" s="12">
        <v>55.0</v>
      </c>
      <c r="G163" s="12">
        <v>19.0</v>
      </c>
      <c r="H163" s="12">
        <v>31.0</v>
      </c>
      <c r="I163" s="12">
        <v>100.0</v>
      </c>
    </row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>
      <c r="A170" s="80" t="s">
        <v>93</v>
      </c>
      <c r="B170" s="80" t="s">
        <v>82</v>
      </c>
      <c r="C170" s="80" t="s">
        <v>83</v>
      </c>
      <c r="D170" s="81"/>
      <c r="E170" s="81"/>
      <c r="F170" s="82" t="s">
        <v>89</v>
      </c>
      <c r="G170" s="5"/>
      <c r="H170" s="5"/>
      <c r="I170" s="5"/>
      <c r="J170" s="5"/>
      <c r="K170" s="6"/>
      <c r="M170" s="82" t="s">
        <v>94</v>
      </c>
      <c r="N170" s="5"/>
      <c r="O170" s="5"/>
      <c r="P170" s="5"/>
      <c r="Q170" s="5"/>
      <c r="R170" s="6"/>
      <c r="T170" s="82" t="s">
        <v>95</v>
      </c>
      <c r="U170" s="5"/>
      <c r="V170" s="5"/>
      <c r="W170" s="5"/>
      <c r="X170" s="5"/>
      <c r="Y170" s="6"/>
      <c r="AA170" s="82" t="s">
        <v>96</v>
      </c>
      <c r="AB170" s="5"/>
      <c r="AC170" s="5"/>
      <c r="AD170" s="5"/>
      <c r="AE170" s="5"/>
      <c r="AF170" s="6"/>
      <c r="AH170" s="82" t="s">
        <v>97</v>
      </c>
      <c r="AI170" s="5"/>
      <c r="AJ170" s="5"/>
      <c r="AK170" s="5"/>
      <c r="AL170" s="5"/>
      <c r="AM170" s="6"/>
      <c r="AO170" s="82" t="s">
        <v>97</v>
      </c>
      <c r="AP170" s="5"/>
      <c r="AQ170" s="5"/>
      <c r="AR170" s="5"/>
      <c r="AS170" s="5"/>
      <c r="AT170" s="6"/>
      <c r="AV170" s="82" t="s">
        <v>97</v>
      </c>
      <c r="AW170" s="5"/>
      <c r="AX170" s="5"/>
      <c r="AY170" s="5"/>
      <c r="AZ170" s="5"/>
      <c r="BA170" s="6"/>
      <c r="BC170" s="82" t="s">
        <v>97</v>
      </c>
      <c r="BD170" s="5"/>
      <c r="BE170" s="5"/>
      <c r="BF170" s="5"/>
      <c r="BG170" s="5"/>
      <c r="BH170" s="6"/>
      <c r="BJ170" s="82" t="s">
        <v>97</v>
      </c>
      <c r="BK170" s="5"/>
      <c r="BL170" s="5"/>
      <c r="BM170" s="5"/>
      <c r="BN170" s="5"/>
      <c r="BO170" s="6"/>
      <c r="BQ170" s="82" t="s">
        <v>97</v>
      </c>
      <c r="BR170" s="5"/>
      <c r="BS170" s="5"/>
      <c r="BT170" s="5"/>
      <c r="BU170" s="5"/>
      <c r="BV170" s="6"/>
      <c r="BX170" s="82" t="s">
        <v>97</v>
      </c>
      <c r="BY170" s="5"/>
      <c r="BZ170" s="5"/>
      <c r="CA170" s="5"/>
      <c r="CB170" s="5"/>
      <c r="CC170" s="6"/>
      <c r="CE170" s="82" t="s">
        <v>97</v>
      </c>
      <c r="CF170" s="5"/>
      <c r="CG170" s="5"/>
      <c r="CH170" s="5"/>
      <c r="CI170" s="5"/>
      <c r="CJ170" s="6"/>
      <c r="CL170" s="82" t="s">
        <v>97</v>
      </c>
      <c r="CM170" s="5"/>
      <c r="CN170" s="5"/>
      <c r="CO170" s="5"/>
      <c r="CP170" s="5"/>
      <c r="CQ170" s="6"/>
      <c r="CS170" s="82" t="s">
        <v>97</v>
      </c>
      <c r="CT170" s="5"/>
      <c r="CU170" s="5"/>
      <c r="CV170" s="5"/>
      <c r="CW170" s="5"/>
      <c r="CX170" s="6"/>
      <c r="CZ170" s="82" t="s">
        <v>97</v>
      </c>
      <c r="DA170" s="5"/>
      <c r="DB170" s="5"/>
      <c r="DC170" s="5"/>
      <c r="DD170" s="5"/>
      <c r="DE170" s="6"/>
      <c r="DG170" s="82" t="s">
        <v>97</v>
      </c>
      <c r="DH170" s="5"/>
      <c r="DI170" s="5"/>
      <c r="DJ170" s="5"/>
      <c r="DK170" s="5"/>
      <c r="DL170" s="6"/>
      <c r="DN170" s="82" t="s">
        <v>97</v>
      </c>
      <c r="DO170" s="5"/>
      <c r="DP170" s="5"/>
      <c r="DQ170" s="5"/>
      <c r="DR170" s="5"/>
      <c r="DS170" s="6"/>
      <c r="DU170" s="82" t="s">
        <v>97</v>
      </c>
      <c r="DV170" s="5"/>
      <c r="DW170" s="5"/>
      <c r="DX170" s="5"/>
      <c r="DY170" s="5"/>
      <c r="DZ170" s="6"/>
      <c r="EB170" s="82" t="s">
        <v>97</v>
      </c>
      <c r="EC170" s="5"/>
      <c r="ED170" s="5"/>
      <c r="EE170" s="5"/>
      <c r="EF170" s="5"/>
      <c r="EG170" s="6"/>
    </row>
    <row r="171" ht="14.25" customHeight="1">
      <c r="A171" s="81">
        <v>0.0</v>
      </c>
      <c r="B171" s="81">
        <v>10.0</v>
      </c>
      <c r="C171" s="81">
        <v>10.0</v>
      </c>
      <c r="D171" s="81"/>
      <c r="E171" s="81"/>
      <c r="F171" s="83" t="s">
        <v>84</v>
      </c>
      <c r="G171" s="84" t="s">
        <v>98</v>
      </c>
      <c r="H171" s="85" t="s">
        <v>85</v>
      </c>
      <c r="I171" s="84" t="s">
        <v>84</v>
      </c>
      <c r="J171" s="84" t="s">
        <v>98</v>
      </c>
      <c r="K171" s="85" t="s">
        <v>85</v>
      </c>
      <c r="M171" s="83" t="s">
        <v>84</v>
      </c>
      <c r="N171" s="84" t="s">
        <v>98</v>
      </c>
      <c r="O171" s="85" t="s">
        <v>85</v>
      </c>
      <c r="P171" s="84" t="s">
        <v>84</v>
      </c>
      <c r="Q171" s="84" t="s">
        <v>98</v>
      </c>
      <c r="R171" s="85" t="s">
        <v>85</v>
      </c>
      <c r="T171" s="83" t="s">
        <v>84</v>
      </c>
      <c r="U171" s="84" t="s">
        <v>98</v>
      </c>
      <c r="V171" s="85" t="s">
        <v>85</v>
      </c>
      <c r="W171" s="84" t="s">
        <v>84</v>
      </c>
      <c r="X171" s="84" t="s">
        <v>98</v>
      </c>
      <c r="Y171" s="85" t="s">
        <v>85</v>
      </c>
      <c r="AA171" s="83" t="s">
        <v>84</v>
      </c>
      <c r="AB171" s="84" t="s">
        <v>98</v>
      </c>
      <c r="AC171" s="85" t="s">
        <v>85</v>
      </c>
      <c r="AD171" s="84" t="s">
        <v>84</v>
      </c>
      <c r="AE171" s="84" t="s">
        <v>98</v>
      </c>
      <c r="AF171" s="85" t="s">
        <v>85</v>
      </c>
      <c r="AH171" s="83" t="s">
        <v>84</v>
      </c>
      <c r="AI171" s="84" t="s">
        <v>98</v>
      </c>
      <c r="AJ171" s="85" t="s">
        <v>85</v>
      </c>
      <c r="AK171" s="84" t="s">
        <v>84</v>
      </c>
      <c r="AL171" s="84" t="s">
        <v>98</v>
      </c>
      <c r="AM171" s="85" t="s">
        <v>85</v>
      </c>
      <c r="AO171" s="83" t="s">
        <v>84</v>
      </c>
      <c r="AP171" s="84" t="s">
        <v>98</v>
      </c>
      <c r="AQ171" s="85" t="s">
        <v>85</v>
      </c>
      <c r="AR171" s="84" t="s">
        <v>84</v>
      </c>
      <c r="AS171" s="84" t="s">
        <v>98</v>
      </c>
      <c r="AT171" s="85" t="s">
        <v>85</v>
      </c>
      <c r="AV171" s="83" t="s">
        <v>84</v>
      </c>
      <c r="AW171" s="84" t="s">
        <v>98</v>
      </c>
      <c r="AX171" s="85" t="s">
        <v>85</v>
      </c>
      <c r="AY171" s="84" t="s">
        <v>84</v>
      </c>
      <c r="AZ171" s="84" t="s">
        <v>98</v>
      </c>
      <c r="BA171" s="85" t="s">
        <v>85</v>
      </c>
      <c r="BC171" s="83" t="s">
        <v>84</v>
      </c>
      <c r="BD171" s="84" t="s">
        <v>98</v>
      </c>
      <c r="BE171" s="85" t="s">
        <v>85</v>
      </c>
      <c r="BF171" s="84" t="s">
        <v>84</v>
      </c>
      <c r="BG171" s="84" t="s">
        <v>98</v>
      </c>
      <c r="BH171" s="85" t="s">
        <v>85</v>
      </c>
      <c r="BJ171" s="83" t="s">
        <v>84</v>
      </c>
      <c r="BK171" s="84" t="s">
        <v>98</v>
      </c>
      <c r="BL171" s="85" t="s">
        <v>85</v>
      </c>
      <c r="BM171" s="84" t="s">
        <v>84</v>
      </c>
      <c r="BN171" s="84" t="s">
        <v>98</v>
      </c>
      <c r="BO171" s="85" t="s">
        <v>85</v>
      </c>
      <c r="BQ171" s="83" t="s">
        <v>84</v>
      </c>
      <c r="BR171" s="84" t="s">
        <v>98</v>
      </c>
      <c r="BS171" s="85" t="s">
        <v>85</v>
      </c>
      <c r="BT171" s="84" t="s">
        <v>84</v>
      </c>
      <c r="BU171" s="84" t="s">
        <v>98</v>
      </c>
      <c r="BV171" s="85" t="s">
        <v>85</v>
      </c>
      <c r="BX171" s="83" t="s">
        <v>84</v>
      </c>
      <c r="BY171" s="84" t="s">
        <v>98</v>
      </c>
      <c r="BZ171" s="85" t="s">
        <v>85</v>
      </c>
      <c r="CA171" s="84" t="s">
        <v>84</v>
      </c>
      <c r="CB171" s="84" t="s">
        <v>98</v>
      </c>
      <c r="CC171" s="85" t="s">
        <v>85</v>
      </c>
      <c r="CE171" s="83" t="s">
        <v>84</v>
      </c>
      <c r="CF171" s="84" t="s">
        <v>98</v>
      </c>
      <c r="CG171" s="85" t="s">
        <v>85</v>
      </c>
      <c r="CH171" s="84" t="s">
        <v>84</v>
      </c>
      <c r="CI171" s="84" t="s">
        <v>98</v>
      </c>
      <c r="CJ171" s="85" t="s">
        <v>85</v>
      </c>
      <c r="CL171" s="83" t="s">
        <v>84</v>
      </c>
      <c r="CM171" s="84" t="s">
        <v>98</v>
      </c>
      <c r="CN171" s="85" t="s">
        <v>85</v>
      </c>
      <c r="CO171" s="84" t="s">
        <v>84</v>
      </c>
      <c r="CP171" s="84" t="s">
        <v>98</v>
      </c>
      <c r="CQ171" s="85" t="s">
        <v>85</v>
      </c>
      <c r="CS171" s="83" t="s">
        <v>84</v>
      </c>
      <c r="CT171" s="84" t="s">
        <v>98</v>
      </c>
      <c r="CU171" s="85" t="s">
        <v>85</v>
      </c>
      <c r="CV171" s="84" t="s">
        <v>84</v>
      </c>
      <c r="CW171" s="84" t="s">
        <v>98</v>
      </c>
      <c r="CX171" s="85" t="s">
        <v>85</v>
      </c>
      <c r="CZ171" s="83" t="s">
        <v>84</v>
      </c>
      <c r="DA171" s="84" t="s">
        <v>98</v>
      </c>
      <c r="DB171" s="85" t="s">
        <v>85</v>
      </c>
      <c r="DC171" s="84" t="s">
        <v>84</v>
      </c>
      <c r="DD171" s="84" t="s">
        <v>98</v>
      </c>
      <c r="DE171" s="85" t="s">
        <v>85</v>
      </c>
      <c r="DG171" s="83" t="s">
        <v>84</v>
      </c>
      <c r="DH171" s="84" t="s">
        <v>98</v>
      </c>
      <c r="DI171" s="85" t="s">
        <v>85</v>
      </c>
      <c r="DJ171" s="84" t="s">
        <v>84</v>
      </c>
      <c r="DK171" s="84" t="s">
        <v>98</v>
      </c>
      <c r="DL171" s="85" t="s">
        <v>85</v>
      </c>
      <c r="DN171" s="83" t="s">
        <v>84</v>
      </c>
      <c r="DO171" s="84" t="s">
        <v>98</v>
      </c>
      <c r="DP171" s="85" t="s">
        <v>85</v>
      </c>
      <c r="DQ171" s="84" t="s">
        <v>84</v>
      </c>
      <c r="DR171" s="84" t="s">
        <v>98</v>
      </c>
      <c r="DS171" s="85" t="s">
        <v>85</v>
      </c>
      <c r="DU171" s="83" t="s">
        <v>84</v>
      </c>
      <c r="DV171" s="84" t="s">
        <v>98</v>
      </c>
      <c r="DW171" s="85" t="s">
        <v>85</v>
      </c>
      <c r="DX171" s="84" t="s">
        <v>84</v>
      </c>
      <c r="DY171" s="84" t="s">
        <v>98</v>
      </c>
      <c r="DZ171" s="85" t="s">
        <v>85</v>
      </c>
      <c r="EB171" s="83" t="s">
        <v>84</v>
      </c>
      <c r="EC171" s="84" t="s">
        <v>98</v>
      </c>
      <c r="ED171" s="85" t="s">
        <v>85</v>
      </c>
      <c r="EE171" s="84" t="s">
        <v>84</v>
      </c>
      <c r="EF171" s="84" t="s">
        <v>98</v>
      </c>
      <c r="EG171" s="85" t="s">
        <v>85</v>
      </c>
    </row>
    <row r="172" ht="14.25" customHeight="1">
      <c r="A172" s="81">
        <v>1.0</v>
      </c>
      <c r="B172" s="81">
        <v>11.0</v>
      </c>
      <c r="C172" s="81">
        <v>10.0</v>
      </c>
      <c r="D172" s="81"/>
      <c r="E172" s="81"/>
      <c r="F172" s="86">
        <v>10.0</v>
      </c>
      <c r="G172" s="81">
        <v>10.0</v>
      </c>
      <c r="H172" s="85">
        <f>(G172 - G$192)^2</f>
        <v>0</v>
      </c>
      <c r="I172" s="81">
        <v>11.0</v>
      </c>
      <c r="J172" s="81">
        <v>10.0</v>
      </c>
      <c r="K172" s="85">
        <f t="shared" ref="K172:K190" si="11">(J172 - J$192)^2</f>
        <v>2622.518006</v>
      </c>
      <c r="M172" s="86">
        <v>10.0</v>
      </c>
      <c r="N172" s="81">
        <v>10.0</v>
      </c>
      <c r="O172" s="85">
        <f t="shared" ref="O172:O173" si="12">(N172 - N$192)^2</f>
        <v>0</v>
      </c>
      <c r="P172" s="81"/>
      <c r="Q172" s="81"/>
      <c r="R172" s="85"/>
      <c r="T172" s="86">
        <v>10.0</v>
      </c>
      <c r="U172" s="81">
        <v>10.0</v>
      </c>
      <c r="V172" s="85">
        <f t="shared" ref="V172:V174" si="13">(U172 - U$192)^2</f>
        <v>0</v>
      </c>
      <c r="W172" s="81"/>
      <c r="X172" s="81"/>
      <c r="Y172" s="85"/>
      <c r="AA172" s="86">
        <v>10.0</v>
      </c>
      <c r="AB172" s="81">
        <v>10.0</v>
      </c>
      <c r="AC172" s="85">
        <f t="shared" ref="AC172:AC175" si="14">(AB172 - AB$192)^2</f>
        <v>0</v>
      </c>
      <c r="AD172" s="81"/>
      <c r="AE172" s="81"/>
      <c r="AF172" s="85"/>
      <c r="AH172" s="86">
        <v>10.0</v>
      </c>
      <c r="AI172" s="81">
        <v>10.0</v>
      </c>
      <c r="AJ172" s="85">
        <f t="shared" ref="AJ172:AJ176" si="15">(AI172 - AI$192)^2</f>
        <v>0.36</v>
      </c>
      <c r="AK172" s="81"/>
      <c r="AL172" s="81"/>
      <c r="AM172" s="85"/>
      <c r="AO172" s="86">
        <v>10.0</v>
      </c>
      <c r="AP172" s="81">
        <v>10.0</v>
      </c>
      <c r="AQ172" s="85">
        <f t="shared" ref="AQ172:AQ177" si="16">(AP172 - AP$192)^2</f>
        <v>4.694444444</v>
      </c>
      <c r="AR172" s="81"/>
      <c r="AS172" s="81"/>
      <c r="AT172" s="85"/>
      <c r="AV172" s="86">
        <v>10.0</v>
      </c>
      <c r="AW172" s="81">
        <v>10.0</v>
      </c>
      <c r="AX172" s="85">
        <f t="shared" ref="AX172:AX178" si="17">(AW172 - AW$192)^2</f>
        <v>29.46938776</v>
      </c>
      <c r="AY172" s="81"/>
      <c r="AZ172" s="81"/>
      <c r="BA172" s="85"/>
      <c r="BC172" s="86">
        <v>10.0</v>
      </c>
      <c r="BD172" s="81">
        <v>10.0</v>
      </c>
      <c r="BE172" s="85">
        <f t="shared" ref="BE172:BE179" si="18">(BD172 - BD$192)^2</f>
        <v>81</v>
      </c>
      <c r="BF172" s="81"/>
      <c r="BG172" s="81"/>
      <c r="BH172" s="85"/>
      <c r="BJ172" s="86">
        <v>10.0</v>
      </c>
      <c r="BK172" s="81">
        <v>10.0</v>
      </c>
      <c r="BL172" s="85">
        <f t="shared" ref="BL172:BL180" si="19">(BK172 - BK$192)^2</f>
        <v>160.4444444</v>
      </c>
      <c r="BM172" s="81"/>
      <c r="BN172" s="81"/>
      <c r="BO172" s="85"/>
      <c r="BQ172" s="86">
        <v>10.0</v>
      </c>
      <c r="BR172" s="81">
        <v>10.0</v>
      </c>
      <c r="BS172" s="85">
        <f t="shared" ref="BS172:BS181" si="20">(BR172 - BR$192)^2</f>
        <v>252.81</v>
      </c>
      <c r="BT172" s="81"/>
      <c r="BU172" s="81"/>
      <c r="BV172" s="85"/>
      <c r="BX172" s="86">
        <v>10.0</v>
      </c>
      <c r="BY172" s="81">
        <v>10.0</v>
      </c>
      <c r="BZ172" s="85">
        <f t="shared" ref="BZ172:BZ182" si="21">(BY172 - BY$192)^2</f>
        <v>433.3966942</v>
      </c>
      <c r="CA172" s="81"/>
      <c r="CB172" s="81"/>
      <c r="CC172" s="85"/>
      <c r="CE172" s="86">
        <v>10.0</v>
      </c>
      <c r="CF172" s="81">
        <v>10.0</v>
      </c>
      <c r="CG172" s="85">
        <f t="shared" ref="CG172:CG183" si="22">(CF172 - CF$192)^2</f>
        <v>633.3611111</v>
      </c>
      <c r="CH172" s="81"/>
      <c r="CI172" s="81"/>
      <c r="CJ172" s="85"/>
      <c r="CL172" s="86">
        <v>10.0</v>
      </c>
      <c r="CM172" s="81">
        <v>10.0</v>
      </c>
      <c r="CN172" s="85">
        <f t="shared" ref="CN172:CN184" si="23">(CM172 - CM$192)^2</f>
        <v>832.1005917</v>
      </c>
      <c r="CO172" s="81"/>
      <c r="CP172" s="81"/>
      <c r="CQ172" s="85"/>
      <c r="CS172" s="86">
        <v>10.0</v>
      </c>
      <c r="CT172" s="81">
        <v>10.0</v>
      </c>
      <c r="CU172" s="85">
        <f t="shared" ref="CU172:CU185" si="24">(CT172 - CT$192)^2</f>
        <v>1024</v>
      </c>
      <c r="CV172" s="81"/>
      <c r="CW172" s="81"/>
      <c r="CX172" s="85"/>
      <c r="CZ172" s="86">
        <v>10.0</v>
      </c>
      <c r="DA172" s="81">
        <v>10.0</v>
      </c>
      <c r="DB172" s="85">
        <f t="shared" ref="DB172:DB186" si="25">(DA172 - DA$192)^2</f>
        <v>1215.684444</v>
      </c>
      <c r="DC172" s="81"/>
      <c r="DD172" s="81"/>
      <c r="DE172" s="85"/>
      <c r="DG172" s="86">
        <v>10.0</v>
      </c>
      <c r="DH172" s="81">
        <v>10.0</v>
      </c>
      <c r="DI172" s="85">
        <f t="shared" ref="DI172:DI187" si="26">(DH172 - DH$192)^2</f>
        <v>1467.847656</v>
      </c>
      <c r="DJ172" s="81"/>
      <c r="DK172" s="81"/>
      <c r="DL172" s="85"/>
      <c r="DN172" s="86">
        <v>10.0</v>
      </c>
      <c r="DO172" s="81">
        <v>10.0</v>
      </c>
      <c r="DP172" s="85">
        <f t="shared" ref="DP172:DP188" si="27">(DO172 - DO$192)^2</f>
        <v>1710.065744</v>
      </c>
      <c r="DQ172" s="81"/>
      <c r="DR172" s="81"/>
      <c r="DS172" s="85"/>
      <c r="DU172" s="86">
        <v>10.0</v>
      </c>
      <c r="DV172" s="81">
        <v>10.0</v>
      </c>
      <c r="DW172" s="85">
        <f t="shared" ref="DW172:DW189" si="28">(DV172 - DV$192)^2</f>
        <v>1940.891975</v>
      </c>
      <c r="DX172" s="81"/>
      <c r="DY172" s="81"/>
      <c r="DZ172" s="85"/>
      <c r="EB172" s="86">
        <v>10.0</v>
      </c>
      <c r="EC172" s="81">
        <v>10.0</v>
      </c>
      <c r="ED172" s="85">
        <f t="shared" ref="ED172:ED190" si="29">(EC172 - EC$192)^2</f>
        <v>2159.803324</v>
      </c>
      <c r="EE172" s="81"/>
      <c r="EF172" s="81"/>
      <c r="EG172" s="85"/>
    </row>
    <row r="173" ht="14.25" customHeight="1">
      <c r="A173" s="81">
        <v>2.0</v>
      </c>
      <c r="B173" s="81">
        <v>12.0</v>
      </c>
      <c r="C173" s="81">
        <v>10.0</v>
      </c>
      <c r="D173" s="81"/>
      <c r="E173" s="81"/>
      <c r="F173" s="83"/>
      <c r="G173" s="84"/>
      <c r="H173" s="85"/>
      <c r="I173" s="81">
        <v>12.0</v>
      </c>
      <c r="J173" s="81">
        <v>10.0</v>
      </c>
      <c r="K173" s="85">
        <f t="shared" si="11"/>
        <v>2622.518006</v>
      </c>
      <c r="M173" s="86">
        <v>11.0</v>
      </c>
      <c r="N173" s="81">
        <v>10.0</v>
      </c>
      <c r="O173" s="85">
        <f t="shared" si="12"/>
        <v>0</v>
      </c>
      <c r="P173" s="81">
        <v>12.0</v>
      </c>
      <c r="Q173" s="81">
        <v>10.0</v>
      </c>
      <c r="R173" s="85">
        <f t="shared" ref="R173:R190" si="30">(Q173 - Q$192)^2</f>
        <v>2922.003086</v>
      </c>
      <c r="T173" s="86">
        <v>11.0</v>
      </c>
      <c r="U173" s="81">
        <v>10.0</v>
      </c>
      <c r="V173" s="85">
        <f t="shared" si="13"/>
        <v>0</v>
      </c>
      <c r="W173" s="81"/>
      <c r="X173" s="81"/>
      <c r="Y173" s="85"/>
      <c r="AA173" s="86">
        <v>11.0</v>
      </c>
      <c r="AB173" s="81">
        <v>10.0</v>
      </c>
      <c r="AC173" s="85">
        <f t="shared" si="14"/>
        <v>0</v>
      </c>
      <c r="AD173" s="81"/>
      <c r="AE173" s="81"/>
      <c r="AF173" s="85"/>
      <c r="AH173" s="86">
        <v>11.0</v>
      </c>
      <c r="AI173" s="81">
        <v>10.0</v>
      </c>
      <c r="AJ173" s="85">
        <f t="shared" si="15"/>
        <v>0.36</v>
      </c>
      <c r="AK173" s="81"/>
      <c r="AL173" s="81"/>
      <c r="AM173" s="85"/>
      <c r="AO173" s="86">
        <v>11.0</v>
      </c>
      <c r="AP173" s="81">
        <v>10.0</v>
      </c>
      <c r="AQ173" s="85">
        <f t="shared" si="16"/>
        <v>4.694444444</v>
      </c>
      <c r="AR173" s="81"/>
      <c r="AS173" s="81"/>
      <c r="AT173" s="85"/>
      <c r="AV173" s="86">
        <v>11.0</v>
      </c>
      <c r="AW173" s="81">
        <v>10.0</v>
      </c>
      <c r="AX173" s="85">
        <f t="shared" si="17"/>
        <v>29.46938776</v>
      </c>
      <c r="AY173" s="81"/>
      <c r="AZ173" s="81"/>
      <c r="BA173" s="85"/>
      <c r="BC173" s="86">
        <v>11.0</v>
      </c>
      <c r="BD173" s="81">
        <v>10.0</v>
      </c>
      <c r="BE173" s="85">
        <f t="shared" si="18"/>
        <v>81</v>
      </c>
      <c r="BF173" s="81"/>
      <c r="BG173" s="81"/>
      <c r="BH173" s="85"/>
      <c r="BJ173" s="86">
        <v>11.0</v>
      </c>
      <c r="BK173" s="81">
        <v>10.0</v>
      </c>
      <c r="BL173" s="85">
        <f t="shared" si="19"/>
        <v>160.4444444</v>
      </c>
      <c r="BM173" s="81"/>
      <c r="BN173" s="81"/>
      <c r="BO173" s="85"/>
      <c r="BQ173" s="86">
        <v>11.0</v>
      </c>
      <c r="BR173" s="81">
        <v>10.0</v>
      </c>
      <c r="BS173" s="85">
        <f t="shared" si="20"/>
        <v>252.81</v>
      </c>
      <c r="BT173" s="81"/>
      <c r="BU173" s="81"/>
      <c r="BV173" s="85"/>
      <c r="BX173" s="86">
        <v>11.0</v>
      </c>
      <c r="BY173" s="81">
        <v>10.0</v>
      </c>
      <c r="BZ173" s="85">
        <f t="shared" si="21"/>
        <v>433.3966942</v>
      </c>
      <c r="CA173" s="81"/>
      <c r="CB173" s="81"/>
      <c r="CC173" s="85"/>
      <c r="CE173" s="86">
        <v>11.0</v>
      </c>
      <c r="CF173" s="81">
        <v>10.0</v>
      </c>
      <c r="CG173" s="85">
        <f t="shared" si="22"/>
        <v>633.3611111</v>
      </c>
      <c r="CH173" s="81"/>
      <c r="CI173" s="81"/>
      <c r="CJ173" s="85"/>
      <c r="CL173" s="86">
        <v>11.0</v>
      </c>
      <c r="CM173" s="81">
        <v>10.0</v>
      </c>
      <c r="CN173" s="85">
        <f t="shared" si="23"/>
        <v>832.1005917</v>
      </c>
      <c r="CO173" s="81"/>
      <c r="CP173" s="81"/>
      <c r="CQ173" s="85"/>
      <c r="CS173" s="86">
        <v>11.0</v>
      </c>
      <c r="CT173" s="81">
        <v>10.0</v>
      </c>
      <c r="CU173" s="85">
        <f t="shared" si="24"/>
        <v>1024</v>
      </c>
      <c r="CV173" s="81"/>
      <c r="CW173" s="81"/>
      <c r="CX173" s="85"/>
      <c r="CZ173" s="86">
        <v>11.0</v>
      </c>
      <c r="DA173" s="81">
        <v>10.0</v>
      </c>
      <c r="DB173" s="85">
        <f t="shared" si="25"/>
        <v>1215.684444</v>
      </c>
      <c r="DC173" s="81"/>
      <c r="DD173" s="81"/>
      <c r="DE173" s="85"/>
      <c r="DG173" s="86">
        <v>11.0</v>
      </c>
      <c r="DH173" s="81">
        <v>10.0</v>
      </c>
      <c r="DI173" s="85">
        <f t="shared" si="26"/>
        <v>1467.847656</v>
      </c>
      <c r="DJ173" s="81"/>
      <c r="DK173" s="81"/>
      <c r="DL173" s="85"/>
      <c r="DN173" s="86">
        <v>11.0</v>
      </c>
      <c r="DO173" s="81">
        <v>10.0</v>
      </c>
      <c r="DP173" s="85">
        <f t="shared" si="27"/>
        <v>1710.065744</v>
      </c>
      <c r="DQ173" s="81"/>
      <c r="DR173" s="81"/>
      <c r="DS173" s="85"/>
      <c r="DU173" s="86">
        <v>11.0</v>
      </c>
      <c r="DV173" s="81">
        <v>10.0</v>
      </c>
      <c r="DW173" s="85">
        <f t="shared" si="28"/>
        <v>1940.891975</v>
      </c>
      <c r="DX173" s="81"/>
      <c r="DY173" s="81"/>
      <c r="DZ173" s="85"/>
      <c r="EB173" s="86">
        <v>11.0</v>
      </c>
      <c r="EC173" s="81">
        <v>10.0</v>
      </c>
      <c r="ED173" s="85">
        <f t="shared" si="29"/>
        <v>2159.803324</v>
      </c>
      <c r="EE173" s="81"/>
      <c r="EF173" s="81"/>
      <c r="EG173" s="85"/>
    </row>
    <row r="174" ht="14.25" customHeight="1">
      <c r="A174" s="81">
        <v>3.0</v>
      </c>
      <c r="B174" s="81">
        <v>13.0</v>
      </c>
      <c r="C174" s="81">
        <v>10.0</v>
      </c>
      <c r="D174" s="81"/>
      <c r="E174" s="81"/>
      <c r="F174" s="83"/>
      <c r="G174" s="84"/>
      <c r="H174" s="85"/>
      <c r="I174" s="81">
        <v>13.0</v>
      </c>
      <c r="J174" s="81">
        <v>10.0</v>
      </c>
      <c r="K174" s="85">
        <f t="shared" si="11"/>
        <v>2622.518006</v>
      </c>
      <c r="M174" s="83"/>
      <c r="N174" s="84"/>
      <c r="O174" s="85"/>
      <c r="P174" s="81">
        <v>13.0</v>
      </c>
      <c r="Q174" s="81">
        <v>10.0</v>
      </c>
      <c r="R174" s="85">
        <f t="shared" si="30"/>
        <v>2922.003086</v>
      </c>
      <c r="T174" s="81">
        <v>12.0</v>
      </c>
      <c r="U174" s="81">
        <v>10.0</v>
      </c>
      <c r="V174" s="85">
        <f t="shared" si="13"/>
        <v>0</v>
      </c>
      <c r="W174" s="81">
        <v>13.0</v>
      </c>
      <c r="X174" s="81">
        <v>10.0</v>
      </c>
      <c r="Y174" s="85">
        <f t="shared" ref="Y174:Y190" si="31">(X174 - X$192)^2</f>
        <v>3275.878893</v>
      </c>
      <c r="AA174" s="81">
        <v>12.0</v>
      </c>
      <c r="AB174" s="81">
        <v>10.0</v>
      </c>
      <c r="AC174" s="85">
        <f t="shared" si="14"/>
        <v>0</v>
      </c>
      <c r="AD174" s="81"/>
      <c r="AE174" s="81"/>
      <c r="AF174" s="85"/>
      <c r="AH174" s="81">
        <v>12.0</v>
      </c>
      <c r="AI174" s="81">
        <v>10.0</v>
      </c>
      <c r="AJ174" s="85">
        <f t="shared" si="15"/>
        <v>0.36</v>
      </c>
      <c r="AK174" s="81"/>
      <c r="AL174" s="81"/>
      <c r="AM174" s="85"/>
      <c r="AO174" s="81">
        <v>12.0</v>
      </c>
      <c r="AP174" s="81">
        <v>10.0</v>
      </c>
      <c r="AQ174" s="85">
        <f t="shared" si="16"/>
        <v>4.694444444</v>
      </c>
      <c r="AR174" s="81"/>
      <c r="AS174" s="81"/>
      <c r="AT174" s="85"/>
      <c r="AV174" s="81">
        <v>12.0</v>
      </c>
      <c r="AW174" s="81">
        <v>10.0</v>
      </c>
      <c r="AX174" s="85">
        <f t="shared" si="17"/>
        <v>29.46938776</v>
      </c>
      <c r="AY174" s="81"/>
      <c r="AZ174" s="81"/>
      <c r="BA174" s="85"/>
      <c r="BC174" s="81">
        <v>12.0</v>
      </c>
      <c r="BD174" s="81">
        <v>10.0</v>
      </c>
      <c r="BE174" s="85">
        <f t="shared" si="18"/>
        <v>81</v>
      </c>
      <c r="BF174" s="81"/>
      <c r="BG174" s="81"/>
      <c r="BH174" s="85"/>
      <c r="BJ174" s="81">
        <v>12.0</v>
      </c>
      <c r="BK174" s="81">
        <v>10.0</v>
      </c>
      <c r="BL174" s="85">
        <f t="shared" si="19"/>
        <v>160.4444444</v>
      </c>
      <c r="BM174" s="81"/>
      <c r="BN174" s="81"/>
      <c r="BO174" s="85"/>
      <c r="BQ174" s="81">
        <v>12.0</v>
      </c>
      <c r="BR174" s="81">
        <v>10.0</v>
      </c>
      <c r="BS174" s="85">
        <f t="shared" si="20"/>
        <v>252.81</v>
      </c>
      <c r="BT174" s="81"/>
      <c r="BU174" s="81"/>
      <c r="BV174" s="85"/>
      <c r="BX174" s="81">
        <v>12.0</v>
      </c>
      <c r="BY174" s="81">
        <v>10.0</v>
      </c>
      <c r="BZ174" s="85">
        <f t="shared" si="21"/>
        <v>433.3966942</v>
      </c>
      <c r="CA174" s="81"/>
      <c r="CB174" s="81"/>
      <c r="CC174" s="85"/>
      <c r="CE174" s="81">
        <v>12.0</v>
      </c>
      <c r="CF174" s="81">
        <v>10.0</v>
      </c>
      <c r="CG174" s="85">
        <f t="shared" si="22"/>
        <v>633.3611111</v>
      </c>
      <c r="CH174" s="81"/>
      <c r="CI174" s="81"/>
      <c r="CJ174" s="85"/>
      <c r="CL174" s="81">
        <v>12.0</v>
      </c>
      <c r="CM174" s="81">
        <v>10.0</v>
      </c>
      <c r="CN174" s="85">
        <f t="shared" si="23"/>
        <v>832.1005917</v>
      </c>
      <c r="CO174" s="81"/>
      <c r="CP174" s="81"/>
      <c r="CQ174" s="85"/>
      <c r="CS174" s="81">
        <v>12.0</v>
      </c>
      <c r="CT174" s="81">
        <v>10.0</v>
      </c>
      <c r="CU174" s="85">
        <f t="shared" si="24"/>
        <v>1024</v>
      </c>
      <c r="CV174" s="81"/>
      <c r="CW174" s="81"/>
      <c r="CX174" s="85"/>
      <c r="CZ174" s="81">
        <v>12.0</v>
      </c>
      <c r="DA174" s="81">
        <v>10.0</v>
      </c>
      <c r="DB174" s="85">
        <f t="shared" si="25"/>
        <v>1215.684444</v>
      </c>
      <c r="DC174" s="81"/>
      <c r="DD174" s="81"/>
      <c r="DE174" s="85"/>
      <c r="DG174" s="81">
        <v>12.0</v>
      </c>
      <c r="DH174" s="81">
        <v>10.0</v>
      </c>
      <c r="DI174" s="85">
        <f t="shared" si="26"/>
        <v>1467.847656</v>
      </c>
      <c r="DJ174" s="81"/>
      <c r="DK174" s="81"/>
      <c r="DL174" s="85"/>
      <c r="DN174" s="81">
        <v>12.0</v>
      </c>
      <c r="DO174" s="81">
        <v>10.0</v>
      </c>
      <c r="DP174" s="85">
        <f t="shared" si="27"/>
        <v>1710.065744</v>
      </c>
      <c r="DQ174" s="81"/>
      <c r="DR174" s="81"/>
      <c r="DS174" s="85"/>
      <c r="DU174" s="81">
        <v>12.0</v>
      </c>
      <c r="DV174" s="81">
        <v>10.0</v>
      </c>
      <c r="DW174" s="85">
        <f t="shared" si="28"/>
        <v>1940.891975</v>
      </c>
      <c r="DX174" s="81"/>
      <c r="DY174" s="81"/>
      <c r="DZ174" s="85"/>
      <c r="EB174" s="81">
        <v>12.0</v>
      </c>
      <c r="EC174" s="81">
        <v>10.0</v>
      </c>
      <c r="ED174" s="85">
        <f t="shared" si="29"/>
        <v>2159.803324</v>
      </c>
      <c r="EE174" s="81"/>
      <c r="EF174" s="81"/>
      <c r="EG174" s="85"/>
    </row>
    <row r="175" ht="14.25" customHeight="1">
      <c r="A175" s="81">
        <v>4.0</v>
      </c>
      <c r="B175" s="81">
        <v>14.0</v>
      </c>
      <c r="C175" s="81">
        <v>13.0</v>
      </c>
      <c r="D175" s="81"/>
      <c r="E175" s="81"/>
      <c r="F175" s="83"/>
      <c r="G175" s="84"/>
      <c r="H175" s="85"/>
      <c r="I175" s="81">
        <v>14.0</v>
      </c>
      <c r="J175" s="81">
        <v>13.0</v>
      </c>
      <c r="K175" s="85">
        <f t="shared" si="11"/>
        <v>2324.254848</v>
      </c>
      <c r="M175" s="83"/>
      <c r="N175" s="84"/>
      <c r="O175" s="85"/>
      <c r="P175" s="81">
        <v>14.0</v>
      </c>
      <c r="Q175" s="81">
        <v>13.0</v>
      </c>
      <c r="R175" s="85">
        <f t="shared" si="30"/>
        <v>2606.669753</v>
      </c>
      <c r="T175" s="83"/>
      <c r="U175" s="84"/>
      <c r="V175" s="85"/>
      <c r="W175" s="81">
        <v>14.0</v>
      </c>
      <c r="X175" s="81">
        <v>13.0</v>
      </c>
      <c r="Y175" s="85">
        <f t="shared" si="31"/>
        <v>2941.467128</v>
      </c>
      <c r="AA175" s="81">
        <v>13.0</v>
      </c>
      <c r="AB175" s="81">
        <v>10.0</v>
      </c>
      <c r="AC175" s="85">
        <f t="shared" si="14"/>
        <v>0</v>
      </c>
      <c r="AD175" s="81">
        <v>14.0</v>
      </c>
      <c r="AE175" s="81">
        <v>13.0</v>
      </c>
      <c r="AF175" s="85">
        <f t="shared" ref="AF175:AF190" si="32">(AE175 - AE$192)^2</f>
        <v>3342.285156</v>
      </c>
      <c r="AH175" s="81">
        <v>13.0</v>
      </c>
      <c r="AI175" s="81">
        <v>10.0</v>
      </c>
      <c r="AJ175" s="85">
        <f t="shared" si="15"/>
        <v>0.36</v>
      </c>
      <c r="AK175" s="81"/>
      <c r="AL175" s="81"/>
      <c r="AM175" s="85"/>
      <c r="AO175" s="81">
        <v>13.0</v>
      </c>
      <c r="AP175" s="81">
        <v>10.0</v>
      </c>
      <c r="AQ175" s="85">
        <f t="shared" si="16"/>
        <v>4.694444444</v>
      </c>
      <c r="AR175" s="81"/>
      <c r="AS175" s="81"/>
      <c r="AT175" s="85"/>
      <c r="AV175" s="81">
        <v>13.0</v>
      </c>
      <c r="AW175" s="81">
        <v>10.0</v>
      </c>
      <c r="AX175" s="85">
        <f t="shared" si="17"/>
        <v>29.46938776</v>
      </c>
      <c r="AY175" s="81"/>
      <c r="AZ175" s="81"/>
      <c r="BA175" s="85"/>
      <c r="BC175" s="81">
        <v>13.0</v>
      </c>
      <c r="BD175" s="81">
        <v>10.0</v>
      </c>
      <c r="BE175" s="85">
        <f t="shared" si="18"/>
        <v>81</v>
      </c>
      <c r="BF175" s="81"/>
      <c r="BG175" s="81"/>
      <c r="BH175" s="85"/>
      <c r="BJ175" s="81">
        <v>13.0</v>
      </c>
      <c r="BK175" s="81">
        <v>10.0</v>
      </c>
      <c r="BL175" s="85">
        <f t="shared" si="19"/>
        <v>160.4444444</v>
      </c>
      <c r="BM175" s="81"/>
      <c r="BN175" s="81"/>
      <c r="BO175" s="85"/>
      <c r="BQ175" s="81">
        <v>13.0</v>
      </c>
      <c r="BR175" s="81">
        <v>10.0</v>
      </c>
      <c r="BS175" s="85">
        <f t="shared" si="20"/>
        <v>252.81</v>
      </c>
      <c r="BT175" s="81"/>
      <c r="BU175" s="81"/>
      <c r="BV175" s="85"/>
      <c r="BX175" s="81">
        <v>13.0</v>
      </c>
      <c r="BY175" s="81">
        <v>10.0</v>
      </c>
      <c r="BZ175" s="85">
        <f t="shared" si="21"/>
        <v>433.3966942</v>
      </c>
      <c r="CA175" s="81"/>
      <c r="CB175" s="81"/>
      <c r="CC175" s="85"/>
      <c r="CE175" s="81">
        <v>13.0</v>
      </c>
      <c r="CF175" s="81">
        <v>10.0</v>
      </c>
      <c r="CG175" s="85">
        <f t="shared" si="22"/>
        <v>633.3611111</v>
      </c>
      <c r="CH175" s="81"/>
      <c r="CI175" s="81"/>
      <c r="CJ175" s="85"/>
      <c r="CL175" s="81">
        <v>13.0</v>
      </c>
      <c r="CM175" s="81">
        <v>10.0</v>
      </c>
      <c r="CN175" s="85">
        <f t="shared" si="23"/>
        <v>832.1005917</v>
      </c>
      <c r="CO175" s="81"/>
      <c r="CP175" s="81"/>
      <c r="CQ175" s="85"/>
      <c r="CS175" s="81">
        <v>13.0</v>
      </c>
      <c r="CT175" s="81">
        <v>10.0</v>
      </c>
      <c r="CU175" s="85">
        <f t="shared" si="24"/>
        <v>1024</v>
      </c>
      <c r="CV175" s="81"/>
      <c r="CW175" s="81"/>
      <c r="CX175" s="85"/>
      <c r="CZ175" s="81">
        <v>13.0</v>
      </c>
      <c r="DA175" s="81">
        <v>10.0</v>
      </c>
      <c r="DB175" s="85">
        <f t="shared" si="25"/>
        <v>1215.684444</v>
      </c>
      <c r="DC175" s="81"/>
      <c r="DD175" s="81"/>
      <c r="DE175" s="85"/>
      <c r="DG175" s="81">
        <v>13.0</v>
      </c>
      <c r="DH175" s="81">
        <v>10.0</v>
      </c>
      <c r="DI175" s="85">
        <f t="shared" si="26"/>
        <v>1467.847656</v>
      </c>
      <c r="DJ175" s="81"/>
      <c r="DK175" s="81"/>
      <c r="DL175" s="85"/>
      <c r="DN175" s="81">
        <v>13.0</v>
      </c>
      <c r="DO175" s="81">
        <v>10.0</v>
      </c>
      <c r="DP175" s="85">
        <f t="shared" si="27"/>
        <v>1710.065744</v>
      </c>
      <c r="DQ175" s="81"/>
      <c r="DR175" s="81"/>
      <c r="DS175" s="85"/>
      <c r="DU175" s="81">
        <v>13.0</v>
      </c>
      <c r="DV175" s="81">
        <v>10.0</v>
      </c>
      <c r="DW175" s="85">
        <f t="shared" si="28"/>
        <v>1940.891975</v>
      </c>
      <c r="DX175" s="81"/>
      <c r="DY175" s="81"/>
      <c r="DZ175" s="85"/>
      <c r="EB175" s="81">
        <v>13.0</v>
      </c>
      <c r="EC175" s="81">
        <v>10.0</v>
      </c>
      <c r="ED175" s="85">
        <f t="shared" si="29"/>
        <v>2159.803324</v>
      </c>
      <c r="EE175" s="81"/>
      <c r="EF175" s="81"/>
      <c r="EG175" s="85"/>
    </row>
    <row r="176" ht="14.25" customHeight="1">
      <c r="A176" s="81">
        <v>5.0</v>
      </c>
      <c r="B176" s="81">
        <v>15.0</v>
      </c>
      <c r="C176" s="81">
        <v>20.0</v>
      </c>
      <c r="D176" s="81"/>
      <c r="E176" s="81"/>
      <c r="F176" s="83"/>
      <c r="G176" s="84"/>
      <c r="H176" s="85"/>
      <c r="I176" s="81">
        <v>15.0</v>
      </c>
      <c r="J176" s="81">
        <v>20.0</v>
      </c>
      <c r="K176" s="85">
        <f t="shared" si="11"/>
        <v>1698.307479</v>
      </c>
      <c r="M176" s="83"/>
      <c r="N176" s="84"/>
      <c r="O176" s="85"/>
      <c r="P176" s="81">
        <v>15.0</v>
      </c>
      <c r="Q176" s="81">
        <v>20.0</v>
      </c>
      <c r="R176" s="85">
        <f t="shared" si="30"/>
        <v>1940.891975</v>
      </c>
      <c r="T176" s="83"/>
      <c r="U176" s="84"/>
      <c r="V176" s="85"/>
      <c r="W176" s="81">
        <v>15.0</v>
      </c>
      <c r="X176" s="81">
        <v>20.0</v>
      </c>
      <c r="Y176" s="85">
        <f t="shared" si="31"/>
        <v>2231.17301</v>
      </c>
      <c r="AA176" s="83"/>
      <c r="AB176" s="84"/>
      <c r="AC176" s="85"/>
      <c r="AD176" s="81">
        <v>15.0</v>
      </c>
      <c r="AE176" s="81">
        <v>20.0</v>
      </c>
      <c r="AF176" s="85">
        <f t="shared" si="32"/>
        <v>2581.910156</v>
      </c>
      <c r="AH176" s="81">
        <v>14.0</v>
      </c>
      <c r="AI176" s="81">
        <v>13.0</v>
      </c>
      <c r="AJ176" s="85">
        <f t="shared" si="15"/>
        <v>5.76</v>
      </c>
      <c r="AK176" s="81">
        <v>15.0</v>
      </c>
      <c r="AL176" s="81">
        <v>20.0</v>
      </c>
      <c r="AM176" s="85">
        <f t="shared" ref="AM176:AM190" si="33">(AL176 - AL$192)^2</f>
        <v>2988.444444</v>
      </c>
      <c r="AO176" s="81">
        <v>14.0</v>
      </c>
      <c r="AP176" s="81">
        <v>13.0</v>
      </c>
      <c r="AQ176" s="85">
        <f t="shared" si="16"/>
        <v>0.6944444444</v>
      </c>
      <c r="AR176" s="81"/>
      <c r="AS176" s="81"/>
      <c r="AT176" s="85"/>
      <c r="AV176" s="81">
        <v>14.0</v>
      </c>
      <c r="AW176" s="81">
        <v>13.0</v>
      </c>
      <c r="AX176" s="85">
        <f t="shared" si="17"/>
        <v>5.897959184</v>
      </c>
      <c r="AY176" s="81"/>
      <c r="AZ176" s="81"/>
      <c r="BA176" s="85"/>
      <c r="BC176" s="81">
        <v>14.0</v>
      </c>
      <c r="BD176" s="81">
        <v>13.0</v>
      </c>
      <c r="BE176" s="85">
        <f t="shared" si="18"/>
        <v>36</v>
      </c>
      <c r="BF176" s="81"/>
      <c r="BG176" s="81"/>
      <c r="BH176" s="85"/>
      <c r="BJ176" s="81">
        <v>14.0</v>
      </c>
      <c r="BK176" s="81">
        <v>13.0</v>
      </c>
      <c r="BL176" s="85">
        <f t="shared" si="19"/>
        <v>93.44444444</v>
      </c>
      <c r="BM176" s="81"/>
      <c r="BN176" s="81"/>
      <c r="BO176" s="85"/>
      <c r="BQ176" s="81">
        <v>14.0</v>
      </c>
      <c r="BR176" s="81">
        <v>13.0</v>
      </c>
      <c r="BS176" s="85">
        <f t="shared" si="20"/>
        <v>166.41</v>
      </c>
      <c r="BT176" s="81"/>
      <c r="BU176" s="81"/>
      <c r="BV176" s="85"/>
      <c r="BX176" s="81">
        <v>14.0</v>
      </c>
      <c r="BY176" s="81">
        <v>13.0</v>
      </c>
      <c r="BZ176" s="85">
        <f t="shared" si="21"/>
        <v>317.4876033</v>
      </c>
      <c r="CA176" s="81"/>
      <c r="CB176" s="81"/>
      <c r="CC176" s="85"/>
      <c r="CE176" s="81">
        <v>14.0</v>
      </c>
      <c r="CF176" s="81">
        <v>13.0</v>
      </c>
      <c r="CG176" s="85">
        <f t="shared" si="22"/>
        <v>491.3611111</v>
      </c>
      <c r="CH176" s="81"/>
      <c r="CI176" s="81"/>
      <c r="CJ176" s="85"/>
      <c r="CL176" s="81">
        <v>14.0</v>
      </c>
      <c r="CM176" s="81">
        <v>13.0</v>
      </c>
      <c r="CN176" s="85">
        <f t="shared" si="23"/>
        <v>668.0236686</v>
      </c>
      <c r="CO176" s="81"/>
      <c r="CP176" s="81"/>
      <c r="CQ176" s="85"/>
      <c r="CS176" s="81">
        <v>14.0</v>
      </c>
      <c r="CT176" s="81">
        <v>13.0</v>
      </c>
      <c r="CU176" s="85">
        <f t="shared" si="24"/>
        <v>841</v>
      </c>
      <c r="CV176" s="81"/>
      <c r="CW176" s="81"/>
      <c r="CX176" s="85"/>
      <c r="CZ176" s="81">
        <v>14.0</v>
      </c>
      <c r="DA176" s="81">
        <v>13.0</v>
      </c>
      <c r="DB176" s="85">
        <f t="shared" si="25"/>
        <v>1015.484444</v>
      </c>
      <c r="DC176" s="81"/>
      <c r="DD176" s="81"/>
      <c r="DE176" s="85"/>
      <c r="DG176" s="81">
        <v>14.0</v>
      </c>
      <c r="DH176" s="81">
        <v>13.0</v>
      </c>
      <c r="DI176" s="85">
        <f t="shared" si="26"/>
        <v>1246.972656</v>
      </c>
      <c r="DJ176" s="81"/>
      <c r="DK176" s="81"/>
      <c r="DL176" s="85"/>
      <c r="DN176" s="81">
        <v>14.0</v>
      </c>
      <c r="DO176" s="81">
        <v>13.0</v>
      </c>
      <c r="DP176" s="85">
        <f t="shared" si="27"/>
        <v>1470.948097</v>
      </c>
      <c r="DQ176" s="81"/>
      <c r="DR176" s="81"/>
      <c r="DS176" s="85"/>
      <c r="DU176" s="81">
        <v>14.0</v>
      </c>
      <c r="DV176" s="81">
        <v>13.0</v>
      </c>
      <c r="DW176" s="85">
        <f t="shared" si="28"/>
        <v>1685.558642</v>
      </c>
      <c r="DX176" s="81"/>
      <c r="DY176" s="81"/>
      <c r="DZ176" s="85"/>
      <c r="EB176" s="81">
        <v>14.0</v>
      </c>
      <c r="EC176" s="81">
        <v>13.0</v>
      </c>
      <c r="ED176" s="85">
        <f t="shared" si="29"/>
        <v>1889.961219</v>
      </c>
      <c r="EE176" s="81"/>
      <c r="EF176" s="81"/>
      <c r="EG176" s="85"/>
    </row>
    <row r="177" ht="14.25" customHeight="1">
      <c r="A177" s="81">
        <v>6.0</v>
      </c>
      <c r="B177" s="81">
        <v>17.5</v>
      </c>
      <c r="C177" s="81">
        <v>35.0</v>
      </c>
      <c r="D177" s="81"/>
      <c r="E177" s="81"/>
      <c r="F177" s="83"/>
      <c r="G177" s="84"/>
      <c r="H177" s="85"/>
      <c r="I177" s="81">
        <v>17.5</v>
      </c>
      <c r="J177" s="81">
        <v>35.0</v>
      </c>
      <c r="K177" s="85">
        <f t="shared" si="11"/>
        <v>686.9916898</v>
      </c>
      <c r="M177" s="83"/>
      <c r="N177" s="84"/>
      <c r="O177" s="85"/>
      <c r="P177" s="81">
        <v>17.5</v>
      </c>
      <c r="Q177" s="81">
        <v>35.0</v>
      </c>
      <c r="R177" s="85">
        <f t="shared" si="30"/>
        <v>844.2253086</v>
      </c>
      <c r="T177" s="83"/>
      <c r="U177" s="84"/>
      <c r="V177" s="85"/>
      <c r="W177" s="81">
        <v>17.5</v>
      </c>
      <c r="X177" s="81">
        <v>35.0</v>
      </c>
      <c r="Y177" s="85">
        <f t="shared" si="31"/>
        <v>1039.114187</v>
      </c>
      <c r="AA177" s="83"/>
      <c r="AB177" s="84"/>
      <c r="AC177" s="85"/>
      <c r="AD177" s="81">
        <v>17.5</v>
      </c>
      <c r="AE177" s="81">
        <v>35.0</v>
      </c>
      <c r="AF177" s="85">
        <f t="shared" si="32"/>
        <v>1282.535156</v>
      </c>
      <c r="AH177" s="83"/>
      <c r="AI177" s="84"/>
      <c r="AJ177" s="85"/>
      <c r="AK177" s="81">
        <v>17.5</v>
      </c>
      <c r="AL177" s="81">
        <v>35.0</v>
      </c>
      <c r="AM177" s="85">
        <f t="shared" si="33"/>
        <v>1573.444444</v>
      </c>
      <c r="AO177" s="81">
        <v>15.0</v>
      </c>
      <c r="AP177" s="81">
        <v>20.0</v>
      </c>
      <c r="AQ177" s="85">
        <f t="shared" si="16"/>
        <v>61.36111111</v>
      </c>
      <c r="AR177" s="81">
        <v>17.5</v>
      </c>
      <c r="AS177" s="81">
        <v>35.0</v>
      </c>
      <c r="AT177" s="85">
        <f t="shared" ref="AT177:AT190" si="34">(AS177 - AS$192)^2</f>
        <v>1898.469388</v>
      </c>
      <c r="AV177" s="81">
        <v>15.0</v>
      </c>
      <c r="AW177" s="81">
        <v>20.0</v>
      </c>
      <c r="AX177" s="85">
        <f t="shared" si="17"/>
        <v>20.89795918</v>
      </c>
      <c r="AY177" s="81"/>
      <c r="AZ177" s="81"/>
      <c r="BA177" s="85"/>
      <c r="BC177" s="81">
        <v>15.0</v>
      </c>
      <c r="BD177" s="81">
        <v>20.0</v>
      </c>
      <c r="BE177" s="85">
        <f t="shared" si="18"/>
        <v>1</v>
      </c>
      <c r="BF177" s="81"/>
      <c r="BG177" s="81"/>
      <c r="BH177" s="85"/>
      <c r="BJ177" s="81">
        <v>15.0</v>
      </c>
      <c r="BK177" s="81">
        <v>20.0</v>
      </c>
      <c r="BL177" s="85">
        <f t="shared" si="19"/>
        <v>7.111111111</v>
      </c>
      <c r="BM177" s="81"/>
      <c r="BN177" s="81"/>
      <c r="BO177" s="85"/>
      <c r="BQ177" s="81">
        <v>15.0</v>
      </c>
      <c r="BR177" s="81">
        <v>20.0</v>
      </c>
      <c r="BS177" s="85">
        <f t="shared" si="20"/>
        <v>34.81</v>
      </c>
      <c r="BT177" s="81"/>
      <c r="BU177" s="81"/>
      <c r="BV177" s="85"/>
      <c r="BX177" s="81">
        <v>15.0</v>
      </c>
      <c r="BY177" s="81">
        <v>20.0</v>
      </c>
      <c r="BZ177" s="85">
        <f t="shared" si="21"/>
        <v>117.0330579</v>
      </c>
      <c r="CA177" s="81"/>
      <c r="CB177" s="81"/>
      <c r="CC177" s="85"/>
      <c r="CE177" s="81">
        <v>15.0</v>
      </c>
      <c r="CF177" s="81">
        <v>20.0</v>
      </c>
      <c r="CG177" s="85">
        <f t="shared" si="22"/>
        <v>230.0277778</v>
      </c>
      <c r="CH177" s="81"/>
      <c r="CI177" s="81"/>
      <c r="CJ177" s="85"/>
      <c r="CL177" s="81">
        <v>15.0</v>
      </c>
      <c r="CM177" s="81">
        <v>20.0</v>
      </c>
      <c r="CN177" s="85">
        <f t="shared" si="23"/>
        <v>355.1775148</v>
      </c>
      <c r="CO177" s="81"/>
      <c r="CP177" s="81"/>
      <c r="CQ177" s="85"/>
      <c r="CS177" s="81">
        <v>15.0</v>
      </c>
      <c r="CT177" s="81">
        <v>20.0</v>
      </c>
      <c r="CU177" s="85">
        <f t="shared" si="24"/>
        <v>484</v>
      </c>
      <c r="CV177" s="81"/>
      <c r="CW177" s="81"/>
      <c r="CX177" s="85"/>
      <c r="CZ177" s="81">
        <v>15.0</v>
      </c>
      <c r="DA177" s="81">
        <v>20.0</v>
      </c>
      <c r="DB177" s="85">
        <f t="shared" si="25"/>
        <v>618.3511111</v>
      </c>
      <c r="DC177" s="81"/>
      <c r="DD177" s="81"/>
      <c r="DE177" s="85"/>
      <c r="DG177" s="81">
        <v>15.0</v>
      </c>
      <c r="DH177" s="81">
        <v>20.0</v>
      </c>
      <c r="DI177" s="85">
        <f t="shared" si="26"/>
        <v>801.5976563</v>
      </c>
      <c r="DJ177" s="81"/>
      <c r="DK177" s="81"/>
      <c r="DL177" s="85"/>
      <c r="DN177" s="81">
        <v>15.0</v>
      </c>
      <c r="DO177" s="81">
        <v>20.0</v>
      </c>
      <c r="DP177" s="85">
        <f t="shared" si="27"/>
        <v>983.0069204</v>
      </c>
      <c r="DQ177" s="81"/>
      <c r="DR177" s="81"/>
      <c r="DS177" s="85"/>
      <c r="DU177" s="81">
        <v>15.0</v>
      </c>
      <c r="DV177" s="81">
        <v>20.0</v>
      </c>
      <c r="DW177" s="85">
        <f t="shared" si="28"/>
        <v>1159.780864</v>
      </c>
      <c r="DX177" s="81"/>
      <c r="DY177" s="81"/>
      <c r="DZ177" s="85"/>
      <c r="EB177" s="81">
        <v>15.0</v>
      </c>
      <c r="EC177" s="81">
        <v>20.0</v>
      </c>
      <c r="ED177" s="85">
        <f t="shared" si="29"/>
        <v>1330.32964</v>
      </c>
      <c r="EE177" s="81"/>
      <c r="EF177" s="81"/>
      <c r="EG177" s="85"/>
    </row>
    <row r="178" ht="14.25" customHeight="1">
      <c r="A178" s="81">
        <v>7.0</v>
      </c>
      <c r="B178" s="81">
        <v>18.0</v>
      </c>
      <c r="C178" s="81">
        <v>44.0</v>
      </c>
      <c r="D178" s="81"/>
      <c r="E178" s="81"/>
      <c r="F178" s="83"/>
      <c r="G178" s="84"/>
      <c r="H178" s="85"/>
      <c r="I178" s="81">
        <v>18.0</v>
      </c>
      <c r="J178" s="81">
        <v>44.0</v>
      </c>
      <c r="K178" s="85">
        <f t="shared" si="11"/>
        <v>296.2022161</v>
      </c>
      <c r="M178" s="83"/>
      <c r="N178" s="84"/>
      <c r="O178" s="85"/>
      <c r="P178" s="81">
        <v>18.0</v>
      </c>
      <c r="Q178" s="81">
        <v>44.0</v>
      </c>
      <c r="R178" s="85">
        <f t="shared" si="30"/>
        <v>402.2253086</v>
      </c>
      <c r="T178" s="83"/>
      <c r="U178" s="84"/>
      <c r="V178" s="85"/>
      <c r="W178" s="81">
        <v>18.0</v>
      </c>
      <c r="X178" s="81">
        <v>44.0</v>
      </c>
      <c r="Y178" s="85">
        <f t="shared" si="31"/>
        <v>539.8788927</v>
      </c>
      <c r="AA178" s="83"/>
      <c r="AB178" s="84"/>
      <c r="AC178" s="85"/>
      <c r="AD178" s="81">
        <v>18.0</v>
      </c>
      <c r="AE178" s="81">
        <v>44.0</v>
      </c>
      <c r="AF178" s="85">
        <f t="shared" si="32"/>
        <v>718.9101563</v>
      </c>
      <c r="AH178" s="83"/>
      <c r="AI178" s="84"/>
      <c r="AJ178" s="85"/>
      <c r="AK178" s="81">
        <v>18.0</v>
      </c>
      <c r="AL178" s="81">
        <v>44.0</v>
      </c>
      <c r="AM178" s="85">
        <f t="shared" si="33"/>
        <v>940.4444444</v>
      </c>
      <c r="AO178" s="83"/>
      <c r="AP178" s="84"/>
      <c r="AQ178" s="85"/>
      <c r="AR178" s="81">
        <v>18.0</v>
      </c>
      <c r="AS178" s="81">
        <v>44.0</v>
      </c>
      <c r="AT178" s="85">
        <f t="shared" si="34"/>
        <v>1195.183673</v>
      </c>
      <c r="AV178" s="81">
        <v>17.5</v>
      </c>
      <c r="AW178" s="81">
        <v>35.0</v>
      </c>
      <c r="AX178" s="85">
        <f t="shared" si="17"/>
        <v>383.0408163</v>
      </c>
      <c r="AY178" s="81">
        <v>18.0</v>
      </c>
      <c r="AZ178" s="81">
        <v>44.0</v>
      </c>
      <c r="BA178" s="85">
        <f t="shared" ref="BA178:BA190" si="35">(AZ178 - AZ$192)^2</f>
        <v>1438.159763</v>
      </c>
      <c r="BC178" s="81">
        <v>17.5</v>
      </c>
      <c r="BD178" s="81">
        <v>35.0</v>
      </c>
      <c r="BE178" s="85">
        <f t="shared" si="18"/>
        <v>256</v>
      </c>
      <c r="BF178" s="81"/>
      <c r="BG178" s="81"/>
      <c r="BH178" s="85"/>
      <c r="BJ178" s="81">
        <v>17.5</v>
      </c>
      <c r="BK178" s="81">
        <v>35.0</v>
      </c>
      <c r="BL178" s="85">
        <f t="shared" si="19"/>
        <v>152.1111111</v>
      </c>
      <c r="BM178" s="81"/>
      <c r="BN178" s="81"/>
      <c r="BO178" s="85"/>
      <c r="BQ178" s="81">
        <v>17.5</v>
      </c>
      <c r="BR178" s="81">
        <v>35.0</v>
      </c>
      <c r="BS178" s="85">
        <f t="shared" si="20"/>
        <v>82.81</v>
      </c>
      <c r="BT178" s="81"/>
      <c r="BU178" s="81"/>
      <c r="BV178" s="85"/>
      <c r="BX178" s="81">
        <v>17.5</v>
      </c>
      <c r="BY178" s="81">
        <v>35.0</v>
      </c>
      <c r="BZ178" s="85">
        <f t="shared" si="21"/>
        <v>17.48760331</v>
      </c>
      <c r="CA178" s="81"/>
      <c r="CB178" s="81"/>
      <c r="CC178" s="85"/>
      <c r="CE178" s="81">
        <v>17.5</v>
      </c>
      <c r="CF178" s="81">
        <v>35.0</v>
      </c>
      <c r="CG178" s="85">
        <f t="shared" si="22"/>
        <v>0.02777777778</v>
      </c>
      <c r="CH178" s="81"/>
      <c r="CI178" s="81"/>
      <c r="CJ178" s="85"/>
      <c r="CL178" s="81">
        <v>17.5</v>
      </c>
      <c r="CM178" s="81">
        <v>35.0</v>
      </c>
      <c r="CN178" s="85">
        <f t="shared" si="23"/>
        <v>14.79289941</v>
      </c>
      <c r="CO178" s="81"/>
      <c r="CP178" s="81"/>
      <c r="CQ178" s="85"/>
      <c r="CS178" s="81">
        <v>17.5</v>
      </c>
      <c r="CT178" s="81">
        <v>35.0</v>
      </c>
      <c r="CU178" s="85">
        <f t="shared" si="24"/>
        <v>49</v>
      </c>
      <c r="CV178" s="81"/>
      <c r="CW178" s="81"/>
      <c r="CX178" s="85"/>
      <c r="CZ178" s="81">
        <v>17.5</v>
      </c>
      <c r="DA178" s="81">
        <v>35.0</v>
      </c>
      <c r="DB178" s="85">
        <f t="shared" si="25"/>
        <v>97.35111111</v>
      </c>
      <c r="DC178" s="81"/>
      <c r="DD178" s="81"/>
      <c r="DE178" s="85"/>
      <c r="DG178" s="81">
        <v>17.5</v>
      </c>
      <c r="DH178" s="81">
        <v>35.0</v>
      </c>
      <c r="DI178" s="85">
        <f t="shared" si="26"/>
        <v>177.2226563</v>
      </c>
      <c r="DJ178" s="81"/>
      <c r="DK178" s="81"/>
      <c r="DL178" s="85"/>
      <c r="DN178" s="81">
        <v>17.5</v>
      </c>
      <c r="DO178" s="81">
        <v>35.0</v>
      </c>
      <c r="DP178" s="85">
        <f t="shared" si="27"/>
        <v>267.4186851</v>
      </c>
      <c r="DQ178" s="81"/>
      <c r="DR178" s="81"/>
      <c r="DS178" s="85"/>
      <c r="DU178" s="81">
        <v>17.5</v>
      </c>
      <c r="DV178" s="81">
        <v>35.0</v>
      </c>
      <c r="DW178" s="85">
        <f t="shared" si="28"/>
        <v>363.1141975</v>
      </c>
      <c r="DX178" s="81"/>
      <c r="DY178" s="81"/>
      <c r="DZ178" s="85"/>
      <c r="EB178" s="81">
        <v>17.5</v>
      </c>
      <c r="EC178" s="81">
        <v>35.0</v>
      </c>
      <c r="ED178" s="85">
        <f t="shared" si="29"/>
        <v>461.1191136</v>
      </c>
      <c r="EE178" s="81"/>
      <c r="EF178" s="81"/>
      <c r="EG178" s="85"/>
    </row>
    <row r="179" ht="14.25" customHeight="1">
      <c r="A179" s="81">
        <v>8.0</v>
      </c>
      <c r="B179" s="81">
        <v>18.5</v>
      </c>
      <c r="C179" s="81">
        <v>52.0</v>
      </c>
      <c r="D179" s="81"/>
      <c r="E179" s="81"/>
      <c r="F179" s="83"/>
      <c r="G179" s="84"/>
      <c r="H179" s="85"/>
      <c r="I179" s="81">
        <v>18.5</v>
      </c>
      <c r="J179" s="81">
        <v>52.0</v>
      </c>
      <c r="K179" s="85">
        <f t="shared" si="11"/>
        <v>84.83379501</v>
      </c>
      <c r="M179" s="83"/>
      <c r="N179" s="84"/>
      <c r="O179" s="85"/>
      <c r="P179" s="81">
        <v>18.5</v>
      </c>
      <c r="Q179" s="81">
        <v>52.0</v>
      </c>
      <c r="R179" s="85">
        <f t="shared" si="30"/>
        <v>145.3364198</v>
      </c>
      <c r="T179" s="83"/>
      <c r="U179" s="84"/>
      <c r="V179" s="85"/>
      <c r="W179" s="81">
        <v>18.5</v>
      </c>
      <c r="X179" s="81">
        <v>52.0</v>
      </c>
      <c r="Y179" s="85">
        <f t="shared" si="31"/>
        <v>232.1141869</v>
      </c>
      <c r="AA179" s="83"/>
      <c r="AB179" s="84"/>
      <c r="AC179" s="85"/>
      <c r="AD179" s="81">
        <v>18.5</v>
      </c>
      <c r="AE179" s="81">
        <v>52.0</v>
      </c>
      <c r="AF179" s="85">
        <f t="shared" si="32"/>
        <v>353.9101563</v>
      </c>
      <c r="AH179" s="83"/>
      <c r="AI179" s="84"/>
      <c r="AJ179" s="85"/>
      <c r="AK179" s="81">
        <v>18.5</v>
      </c>
      <c r="AL179" s="81">
        <v>52.0</v>
      </c>
      <c r="AM179" s="85">
        <f t="shared" si="33"/>
        <v>513.7777778</v>
      </c>
      <c r="AO179" s="83"/>
      <c r="AP179" s="84"/>
      <c r="AQ179" s="85"/>
      <c r="AR179" s="81">
        <v>18.5</v>
      </c>
      <c r="AS179" s="81">
        <v>52.0</v>
      </c>
      <c r="AT179" s="85">
        <f t="shared" si="34"/>
        <v>706.0408163</v>
      </c>
      <c r="AV179" s="83"/>
      <c r="AW179" s="84"/>
      <c r="AX179" s="85"/>
      <c r="AY179" s="81">
        <v>18.5</v>
      </c>
      <c r="AZ179" s="81">
        <v>52.0</v>
      </c>
      <c r="BA179" s="85">
        <f t="shared" si="35"/>
        <v>895.3905325</v>
      </c>
      <c r="BC179" s="81">
        <v>18.0</v>
      </c>
      <c r="BD179" s="81">
        <v>44.0</v>
      </c>
      <c r="BE179" s="85">
        <f t="shared" si="18"/>
        <v>625</v>
      </c>
      <c r="BF179" s="81">
        <v>18.5</v>
      </c>
      <c r="BG179" s="81">
        <v>52.0</v>
      </c>
      <c r="BH179" s="85">
        <f t="shared" ref="BH179:BH190" si="36">(BG179 - BG$192)^2</f>
        <v>1094.506944</v>
      </c>
      <c r="BJ179" s="81">
        <v>18.0</v>
      </c>
      <c r="BK179" s="81">
        <v>44.0</v>
      </c>
      <c r="BL179" s="85">
        <f t="shared" si="19"/>
        <v>455.1111111</v>
      </c>
      <c r="BM179" s="81"/>
      <c r="BN179" s="81"/>
      <c r="BO179" s="85"/>
      <c r="BQ179" s="81">
        <v>18.0</v>
      </c>
      <c r="BR179" s="81">
        <v>44.0</v>
      </c>
      <c r="BS179" s="85">
        <f t="shared" si="20"/>
        <v>327.61</v>
      </c>
      <c r="BT179" s="81"/>
      <c r="BU179" s="81"/>
      <c r="BV179" s="85"/>
      <c r="BX179" s="81">
        <v>18.0</v>
      </c>
      <c r="BY179" s="81">
        <v>44.0</v>
      </c>
      <c r="BZ179" s="85">
        <f t="shared" si="21"/>
        <v>173.7603306</v>
      </c>
      <c r="CA179" s="81"/>
      <c r="CB179" s="81"/>
      <c r="CC179" s="85"/>
      <c r="CE179" s="81">
        <v>18.0</v>
      </c>
      <c r="CF179" s="81">
        <v>44.0</v>
      </c>
      <c r="CG179" s="85">
        <f t="shared" si="22"/>
        <v>78.02777778</v>
      </c>
      <c r="CH179" s="81"/>
      <c r="CI179" s="81"/>
      <c r="CJ179" s="85"/>
      <c r="CL179" s="81">
        <v>18.0</v>
      </c>
      <c r="CM179" s="81">
        <v>44.0</v>
      </c>
      <c r="CN179" s="85">
        <f t="shared" si="23"/>
        <v>26.56213018</v>
      </c>
      <c r="CO179" s="81"/>
      <c r="CP179" s="81"/>
      <c r="CQ179" s="85"/>
      <c r="CS179" s="81">
        <v>18.0</v>
      </c>
      <c r="CT179" s="81">
        <v>44.0</v>
      </c>
      <c r="CU179" s="85">
        <f t="shared" si="24"/>
        <v>4</v>
      </c>
      <c r="CV179" s="81"/>
      <c r="CW179" s="81"/>
      <c r="CX179" s="85"/>
      <c r="CZ179" s="81">
        <v>18.0</v>
      </c>
      <c r="DA179" s="81">
        <v>44.0</v>
      </c>
      <c r="DB179" s="85">
        <f t="shared" si="25"/>
        <v>0.7511111111</v>
      </c>
      <c r="DC179" s="81"/>
      <c r="DD179" s="81"/>
      <c r="DE179" s="85"/>
      <c r="DG179" s="81">
        <v>18.0</v>
      </c>
      <c r="DH179" s="81">
        <v>44.0</v>
      </c>
      <c r="DI179" s="85">
        <f t="shared" si="26"/>
        <v>18.59765625</v>
      </c>
      <c r="DJ179" s="81"/>
      <c r="DK179" s="81"/>
      <c r="DL179" s="85"/>
      <c r="DN179" s="81">
        <v>18.0</v>
      </c>
      <c r="DO179" s="81">
        <v>44.0</v>
      </c>
      <c r="DP179" s="85">
        <f t="shared" si="27"/>
        <v>54.06574394</v>
      </c>
      <c r="DQ179" s="81"/>
      <c r="DR179" s="81"/>
      <c r="DS179" s="85"/>
      <c r="DU179" s="81">
        <v>18.0</v>
      </c>
      <c r="DV179" s="81">
        <v>44.0</v>
      </c>
      <c r="DW179" s="85">
        <f t="shared" si="28"/>
        <v>101.1141975</v>
      </c>
      <c r="DX179" s="81"/>
      <c r="DY179" s="81"/>
      <c r="DZ179" s="85"/>
      <c r="EB179" s="81">
        <v>18.0</v>
      </c>
      <c r="EC179" s="81">
        <v>44.0</v>
      </c>
      <c r="ED179" s="85">
        <f t="shared" si="29"/>
        <v>155.5927978</v>
      </c>
      <c r="EE179" s="81"/>
      <c r="EF179" s="81"/>
      <c r="EG179" s="85"/>
    </row>
    <row r="180" ht="14.25" customHeight="1">
      <c r="A180" s="81">
        <v>9.0</v>
      </c>
      <c r="B180" s="81">
        <v>19.0</v>
      </c>
      <c r="C180" s="81">
        <v>55.0</v>
      </c>
      <c r="D180" s="81"/>
      <c r="E180" s="81"/>
      <c r="F180" s="83"/>
      <c r="G180" s="84"/>
      <c r="H180" s="85"/>
      <c r="I180" s="81">
        <v>19.0</v>
      </c>
      <c r="J180" s="81">
        <v>55.0</v>
      </c>
      <c r="K180" s="85">
        <f t="shared" si="11"/>
        <v>38.57063712</v>
      </c>
      <c r="M180" s="83"/>
      <c r="N180" s="84"/>
      <c r="O180" s="85"/>
      <c r="P180" s="81">
        <v>19.0</v>
      </c>
      <c r="Q180" s="81">
        <v>55.0</v>
      </c>
      <c r="R180" s="85">
        <f t="shared" si="30"/>
        <v>82.00308642</v>
      </c>
      <c r="T180" s="83"/>
      <c r="U180" s="84"/>
      <c r="V180" s="85"/>
      <c r="W180" s="81">
        <v>19.0</v>
      </c>
      <c r="X180" s="81">
        <v>55.0</v>
      </c>
      <c r="Y180" s="85">
        <f t="shared" si="31"/>
        <v>149.7024221</v>
      </c>
      <c r="AA180" s="83"/>
      <c r="AB180" s="84"/>
      <c r="AC180" s="85"/>
      <c r="AD180" s="81">
        <v>19.0</v>
      </c>
      <c r="AE180" s="81">
        <v>55.0</v>
      </c>
      <c r="AF180" s="85">
        <f t="shared" si="32"/>
        <v>250.0351563</v>
      </c>
      <c r="AH180" s="83"/>
      <c r="AI180" s="84"/>
      <c r="AJ180" s="85"/>
      <c r="AK180" s="81">
        <v>19.0</v>
      </c>
      <c r="AL180" s="81">
        <v>55.0</v>
      </c>
      <c r="AM180" s="85">
        <f t="shared" si="33"/>
        <v>386.7777778</v>
      </c>
      <c r="AO180" s="83"/>
      <c r="AP180" s="84"/>
      <c r="AQ180" s="85"/>
      <c r="AR180" s="81">
        <v>19.0</v>
      </c>
      <c r="AS180" s="81">
        <v>55.0</v>
      </c>
      <c r="AT180" s="85">
        <f t="shared" si="34"/>
        <v>555.6122449</v>
      </c>
      <c r="AV180" s="83"/>
      <c r="AW180" s="84"/>
      <c r="AX180" s="85"/>
      <c r="AY180" s="81">
        <v>19.0</v>
      </c>
      <c r="AZ180" s="81">
        <v>55.0</v>
      </c>
      <c r="BA180" s="85">
        <f t="shared" si="35"/>
        <v>724.852071</v>
      </c>
      <c r="BC180" s="83"/>
      <c r="BD180" s="84"/>
      <c r="BE180" s="85"/>
      <c r="BF180" s="81">
        <v>19.0</v>
      </c>
      <c r="BG180" s="81">
        <v>55.0</v>
      </c>
      <c r="BH180" s="85">
        <f t="shared" si="36"/>
        <v>905.0069444</v>
      </c>
      <c r="BJ180" s="81">
        <v>18.5</v>
      </c>
      <c r="BK180" s="81">
        <v>52.0</v>
      </c>
      <c r="BL180" s="85">
        <f t="shared" si="19"/>
        <v>860.4444444</v>
      </c>
      <c r="BM180" s="81">
        <v>19.0</v>
      </c>
      <c r="BN180" s="81">
        <v>55.0</v>
      </c>
      <c r="BO180" s="85">
        <f t="shared" ref="BO180:BO190" si="37">(BN180 - BN$192)^2</f>
        <v>1095.008264</v>
      </c>
      <c r="BQ180" s="81">
        <v>18.5</v>
      </c>
      <c r="BR180" s="81">
        <v>52.0</v>
      </c>
      <c r="BS180" s="85">
        <f t="shared" si="20"/>
        <v>681.21</v>
      </c>
      <c r="BT180" s="81"/>
      <c r="BU180" s="81"/>
      <c r="BV180" s="85"/>
      <c r="BX180" s="81">
        <v>18.5</v>
      </c>
      <c r="BY180" s="81">
        <v>52.0</v>
      </c>
      <c r="BZ180" s="85">
        <f t="shared" si="21"/>
        <v>448.6694215</v>
      </c>
      <c r="CA180" s="81"/>
      <c r="CB180" s="81"/>
      <c r="CC180" s="85"/>
      <c r="CE180" s="81">
        <v>18.5</v>
      </c>
      <c r="CF180" s="81">
        <v>52.0</v>
      </c>
      <c r="CG180" s="85">
        <f t="shared" si="22"/>
        <v>283.3611111</v>
      </c>
      <c r="CH180" s="81"/>
      <c r="CI180" s="81"/>
      <c r="CJ180" s="85"/>
      <c r="CL180" s="81">
        <v>18.5</v>
      </c>
      <c r="CM180" s="81">
        <v>52.0</v>
      </c>
      <c r="CN180" s="85">
        <f t="shared" si="23"/>
        <v>173.0236686</v>
      </c>
      <c r="CO180" s="81"/>
      <c r="CP180" s="81"/>
      <c r="CQ180" s="85"/>
      <c r="CS180" s="81">
        <v>18.5</v>
      </c>
      <c r="CT180" s="81">
        <v>52.0</v>
      </c>
      <c r="CU180" s="85">
        <f t="shared" si="24"/>
        <v>100</v>
      </c>
      <c r="CV180" s="81"/>
      <c r="CW180" s="81"/>
      <c r="CX180" s="85"/>
      <c r="CZ180" s="81">
        <v>18.5</v>
      </c>
      <c r="DA180" s="81">
        <v>52.0</v>
      </c>
      <c r="DB180" s="85">
        <f t="shared" si="25"/>
        <v>50.88444444</v>
      </c>
      <c r="DC180" s="81"/>
      <c r="DD180" s="81"/>
      <c r="DE180" s="85"/>
      <c r="DG180" s="81">
        <v>18.5</v>
      </c>
      <c r="DH180" s="81">
        <v>52.0</v>
      </c>
      <c r="DI180" s="85">
        <f t="shared" si="26"/>
        <v>13.59765625</v>
      </c>
      <c r="DJ180" s="81"/>
      <c r="DK180" s="81"/>
      <c r="DL180" s="85"/>
      <c r="DN180" s="81">
        <v>18.5</v>
      </c>
      <c r="DO180" s="81">
        <v>52.0</v>
      </c>
      <c r="DP180" s="85">
        <f t="shared" si="27"/>
        <v>0.4186851211</v>
      </c>
      <c r="DQ180" s="81"/>
      <c r="DR180" s="81"/>
      <c r="DS180" s="85"/>
      <c r="DU180" s="81">
        <v>18.5</v>
      </c>
      <c r="DV180" s="81">
        <v>52.0</v>
      </c>
      <c r="DW180" s="85">
        <f t="shared" si="28"/>
        <v>4.225308642</v>
      </c>
      <c r="DX180" s="81"/>
      <c r="DY180" s="81"/>
      <c r="DZ180" s="85"/>
      <c r="EB180" s="81">
        <v>18.5</v>
      </c>
      <c r="EC180" s="81">
        <v>52.0</v>
      </c>
      <c r="ED180" s="85">
        <f t="shared" si="29"/>
        <v>20.01385042</v>
      </c>
      <c r="EE180" s="81"/>
      <c r="EF180" s="81"/>
      <c r="EG180" s="85"/>
    </row>
    <row r="181" ht="14.25" customHeight="1">
      <c r="A181" s="81">
        <v>10.0</v>
      </c>
      <c r="B181" s="81">
        <v>21.0</v>
      </c>
      <c r="C181" s="81">
        <v>80.0</v>
      </c>
      <c r="D181" s="81"/>
      <c r="E181" s="81"/>
      <c r="F181" s="83"/>
      <c r="G181" s="84"/>
      <c r="H181" s="85"/>
      <c r="I181" s="81">
        <v>21.0</v>
      </c>
      <c r="J181" s="81">
        <v>80.0</v>
      </c>
      <c r="K181" s="85">
        <f t="shared" si="11"/>
        <v>353.0443213</v>
      </c>
      <c r="M181" s="83"/>
      <c r="N181" s="84"/>
      <c r="O181" s="85"/>
      <c r="P181" s="81">
        <v>21.0</v>
      </c>
      <c r="Q181" s="81">
        <v>80.0</v>
      </c>
      <c r="R181" s="85">
        <f t="shared" si="30"/>
        <v>254.2253086</v>
      </c>
      <c r="T181" s="83"/>
      <c r="U181" s="84"/>
      <c r="V181" s="85"/>
      <c r="W181" s="81">
        <v>21.0</v>
      </c>
      <c r="X181" s="81">
        <v>80.0</v>
      </c>
      <c r="Y181" s="85">
        <f t="shared" si="31"/>
        <v>162.9377163</v>
      </c>
      <c r="AA181" s="83"/>
      <c r="AB181" s="84"/>
      <c r="AC181" s="85"/>
      <c r="AD181" s="81">
        <v>21.0</v>
      </c>
      <c r="AE181" s="81">
        <v>80.0</v>
      </c>
      <c r="AF181" s="85">
        <f t="shared" si="32"/>
        <v>84.41015625</v>
      </c>
      <c r="AH181" s="83"/>
      <c r="AI181" s="84"/>
      <c r="AJ181" s="85"/>
      <c r="AK181" s="81">
        <v>21.0</v>
      </c>
      <c r="AL181" s="81">
        <v>80.0</v>
      </c>
      <c r="AM181" s="85">
        <f t="shared" si="33"/>
        <v>28.44444444</v>
      </c>
      <c r="AO181" s="83"/>
      <c r="AP181" s="84"/>
      <c r="AQ181" s="85"/>
      <c r="AR181" s="81">
        <v>21.0</v>
      </c>
      <c r="AS181" s="81">
        <v>80.0</v>
      </c>
      <c r="AT181" s="85">
        <f t="shared" si="34"/>
        <v>2.040816327</v>
      </c>
      <c r="AV181" s="83"/>
      <c r="AW181" s="84"/>
      <c r="AX181" s="85"/>
      <c r="AY181" s="81">
        <v>21.0</v>
      </c>
      <c r="AZ181" s="81">
        <v>80.0</v>
      </c>
      <c r="BA181" s="85">
        <f t="shared" si="35"/>
        <v>3.698224852</v>
      </c>
      <c r="BC181" s="83"/>
      <c r="BD181" s="84"/>
      <c r="BE181" s="85"/>
      <c r="BF181" s="81">
        <v>21.0</v>
      </c>
      <c r="BG181" s="81">
        <v>80.0</v>
      </c>
      <c r="BH181" s="85">
        <f t="shared" si="36"/>
        <v>25.84027778</v>
      </c>
      <c r="BJ181" s="83"/>
      <c r="BK181" s="84"/>
      <c r="BL181" s="85"/>
      <c r="BM181" s="81">
        <v>21.0</v>
      </c>
      <c r="BN181" s="81">
        <v>80.0</v>
      </c>
      <c r="BO181" s="85">
        <f t="shared" si="37"/>
        <v>65.46280992</v>
      </c>
      <c r="BQ181" s="81">
        <v>19.0</v>
      </c>
      <c r="BR181" s="81">
        <v>55.0</v>
      </c>
      <c r="BS181" s="85">
        <f t="shared" si="20"/>
        <v>846.81</v>
      </c>
      <c r="BT181" s="81">
        <v>21.0</v>
      </c>
      <c r="BU181" s="81">
        <v>80.0</v>
      </c>
      <c r="BV181" s="85">
        <f t="shared" ref="BV181:BV190" si="38">(BU181 - BU$192)^2</f>
        <v>129.96</v>
      </c>
      <c r="BX181" s="81">
        <v>19.0</v>
      </c>
      <c r="BY181" s="81">
        <v>55.0</v>
      </c>
      <c r="BZ181" s="85">
        <f t="shared" si="21"/>
        <v>584.7603306</v>
      </c>
      <c r="CA181" s="81"/>
      <c r="CB181" s="81"/>
      <c r="CC181" s="85"/>
      <c r="CE181" s="81">
        <v>19.0</v>
      </c>
      <c r="CF181" s="81">
        <v>55.0</v>
      </c>
      <c r="CG181" s="85">
        <f t="shared" si="22"/>
        <v>393.3611111</v>
      </c>
      <c r="CH181" s="81"/>
      <c r="CI181" s="81"/>
      <c r="CJ181" s="85"/>
      <c r="CL181" s="81">
        <v>19.0</v>
      </c>
      <c r="CM181" s="81">
        <v>55.0</v>
      </c>
      <c r="CN181" s="85">
        <f t="shared" si="23"/>
        <v>260.9467456</v>
      </c>
      <c r="CO181" s="81"/>
      <c r="CP181" s="81"/>
      <c r="CQ181" s="85"/>
      <c r="CS181" s="81">
        <v>19.0</v>
      </c>
      <c r="CT181" s="81">
        <v>55.0</v>
      </c>
      <c r="CU181" s="85">
        <f t="shared" si="24"/>
        <v>169</v>
      </c>
      <c r="CV181" s="81"/>
      <c r="CW181" s="81"/>
      <c r="CX181" s="85"/>
      <c r="CZ181" s="81">
        <v>19.0</v>
      </c>
      <c r="DA181" s="81">
        <v>55.0</v>
      </c>
      <c r="DB181" s="85">
        <f t="shared" si="25"/>
        <v>102.6844444</v>
      </c>
      <c r="DC181" s="81"/>
      <c r="DD181" s="81"/>
      <c r="DE181" s="85"/>
      <c r="DG181" s="81">
        <v>19.0</v>
      </c>
      <c r="DH181" s="81">
        <v>55.0</v>
      </c>
      <c r="DI181" s="85">
        <f t="shared" si="26"/>
        <v>44.72265625</v>
      </c>
      <c r="DJ181" s="81"/>
      <c r="DK181" s="81"/>
      <c r="DL181" s="85"/>
      <c r="DN181" s="81">
        <v>19.0</v>
      </c>
      <c r="DO181" s="81">
        <v>55.0</v>
      </c>
      <c r="DP181" s="85">
        <f t="shared" si="27"/>
        <v>13.30103806</v>
      </c>
      <c r="DQ181" s="81"/>
      <c r="DR181" s="81"/>
      <c r="DS181" s="85"/>
      <c r="DU181" s="81">
        <v>19.0</v>
      </c>
      <c r="DV181" s="81">
        <v>55.0</v>
      </c>
      <c r="DW181" s="85">
        <f t="shared" si="28"/>
        <v>0.8919753086</v>
      </c>
      <c r="DX181" s="81"/>
      <c r="DY181" s="81"/>
      <c r="DZ181" s="85"/>
      <c r="EB181" s="81">
        <v>19.0</v>
      </c>
      <c r="EC181" s="81">
        <v>55.0</v>
      </c>
      <c r="ED181" s="85">
        <f t="shared" si="29"/>
        <v>2.171745152</v>
      </c>
      <c r="EE181" s="81"/>
      <c r="EF181" s="81"/>
      <c r="EG181" s="85"/>
    </row>
    <row r="182" ht="14.25" customHeight="1">
      <c r="A182" s="81">
        <v>11.0</v>
      </c>
      <c r="B182" s="81">
        <v>22.0</v>
      </c>
      <c r="C182" s="81">
        <v>83.0</v>
      </c>
      <c r="D182" s="81"/>
      <c r="E182" s="81"/>
      <c r="F182" s="83"/>
      <c r="G182" s="84"/>
      <c r="H182" s="85"/>
      <c r="I182" s="81">
        <v>22.0</v>
      </c>
      <c r="J182" s="81">
        <v>83.0</v>
      </c>
      <c r="K182" s="85">
        <f t="shared" si="11"/>
        <v>474.7811634</v>
      </c>
      <c r="M182" s="83"/>
      <c r="N182" s="84"/>
      <c r="O182" s="85"/>
      <c r="P182" s="81">
        <v>22.0</v>
      </c>
      <c r="Q182" s="81">
        <v>83.0</v>
      </c>
      <c r="R182" s="85">
        <f t="shared" si="30"/>
        <v>358.8919753</v>
      </c>
      <c r="T182" s="83"/>
      <c r="U182" s="84"/>
      <c r="V182" s="85"/>
      <c r="W182" s="81">
        <v>22.0</v>
      </c>
      <c r="X182" s="81">
        <v>83.0</v>
      </c>
      <c r="Y182" s="85">
        <f t="shared" si="31"/>
        <v>248.5259516</v>
      </c>
      <c r="AA182" s="83"/>
      <c r="AB182" s="84"/>
      <c r="AC182" s="85"/>
      <c r="AD182" s="81">
        <v>22.0</v>
      </c>
      <c r="AE182" s="81">
        <v>83.0</v>
      </c>
      <c r="AF182" s="85">
        <f t="shared" si="32"/>
        <v>148.5351563</v>
      </c>
      <c r="AH182" s="83"/>
      <c r="AI182" s="84"/>
      <c r="AJ182" s="85"/>
      <c r="AK182" s="81">
        <v>22.0</v>
      </c>
      <c r="AL182" s="81">
        <v>83.0</v>
      </c>
      <c r="AM182" s="85">
        <f t="shared" si="33"/>
        <v>69.44444444</v>
      </c>
      <c r="AO182" s="83"/>
      <c r="AP182" s="84"/>
      <c r="AQ182" s="85"/>
      <c r="AR182" s="81">
        <v>22.0</v>
      </c>
      <c r="AS182" s="81">
        <v>83.0</v>
      </c>
      <c r="AT182" s="85">
        <f t="shared" si="34"/>
        <v>19.6122449</v>
      </c>
      <c r="AV182" s="83"/>
      <c r="AW182" s="84"/>
      <c r="AX182" s="85"/>
      <c r="AY182" s="81">
        <v>22.0</v>
      </c>
      <c r="AZ182" s="81">
        <v>83.0</v>
      </c>
      <c r="BA182" s="85">
        <f t="shared" si="35"/>
        <v>1.159763314</v>
      </c>
      <c r="BC182" s="83"/>
      <c r="BD182" s="84"/>
      <c r="BE182" s="85"/>
      <c r="BF182" s="81">
        <v>22.0</v>
      </c>
      <c r="BG182" s="81">
        <v>83.0</v>
      </c>
      <c r="BH182" s="85">
        <f t="shared" si="36"/>
        <v>4.340277778</v>
      </c>
      <c r="BJ182" s="83"/>
      <c r="BK182" s="84"/>
      <c r="BL182" s="85"/>
      <c r="BM182" s="81">
        <v>22.0</v>
      </c>
      <c r="BN182" s="81">
        <v>83.0</v>
      </c>
      <c r="BO182" s="85">
        <f t="shared" si="37"/>
        <v>25.91735537</v>
      </c>
      <c r="BQ182" s="83"/>
      <c r="BR182" s="84"/>
      <c r="BS182" s="85"/>
      <c r="BT182" s="81">
        <v>22.0</v>
      </c>
      <c r="BU182" s="81">
        <v>83.0</v>
      </c>
      <c r="BV182" s="85">
        <f t="shared" si="38"/>
        <v>70.56</v>
      </c>
      <c r="BX182" s="81">
        <v>21.0</v>
      </c>
      <c r="BY182" s="81">
        <v>80.0</v>
      </c>
      <c r="BZ182" s="85">
        <f t="shared" si="21"/>
        <v>2418.85124</v>
      </c>
      <c r="CA182" s="81">
        <v>22.0</v>
      </c>
      <c r="CB182" s="81">
        <v>83.0</v>
      </c>
      <c r="CC182" s="85">
        <f t="shared" ref="CC182:CC190" si="39">(CB182 - CB$192)^2</f>
        <v>93.44444444</v>
      </c>
      <c r="CE182" s="81">
        <v>21.0</v>
      </c>
      <c r="CF182" s="81">
        <v>80.0</v>
      </c>
      <c r="CG182" s="85">
        <f t="shared" si="22"/>
        <v>2010.027778</v>
      </c>
      <c r="CH182" s="81"/>
      <c r="CI182" s="81"/>
      <c r="CJ182" s="85"/>
      <c r="CL182" s="81">
        <v>21.0</v>
      </c>
      <c r="CM182" s="81">
        <v>80.0</v>
      </c>
      <c r="CN182" s="85">
        <f t="shared" si="23"/>
        <v>1693.639053</v>
      </c>
      <c r="CO182" s="81"/>
      <c r="CP182" s="81"/>
      <c r="CQ182" s="85"/>
      <c r="CS182" s="81">
        <v>21.0</v>
      </c>
      <c r="CT182" s="81">
        <v>80.0</v>
      </c>
      <c r="CU182" s="85">
        <f t="shared" si="24"/>
        <v>1444</v>
      </c>
      <c r="CV182" s="81"/>
      <c r="CW182" s="81"/>
      <c r="CX182" s="85"/>
      <c r="CZ182" s="81">
        <v>21.0</v>
      </c>
      <c r="DA182" s="81">
        <v>80.0</v>
      </c>
      <c r="DB182" s="85">
        <f t="shared" si="25"/>
        <v>1234.351111</v>
      </c>
      <c r="DC182" s="81"/>
      <c r="DD182" s="81"/>
      <c r="DE182" s="85"/>
      <c r="DG182" s="81">
        <v>21.0</v>
      </c>
      <c r="DH182" s="81">
        <v>80.0</v>
      </c>
      <c r="DI182" s="85">
        <f t="shared" si="26"/>
        <v>1004.097656</v>
      </c>
      <c r="DJ182" s="81"/>
      <c r="DK182" s="81"/>
      <c r="DL182" s="85"/>
      <c r="DN182" s="81">
        <v>21.0</v>
      </c>
      <c r="DO182" s="81">
        <v>80.0</v>
      </c>
      <c r="DP182" s="85">
        <f t="shared" si="27"/>
        <v>820.6539792</v>
      </c>
      <c r="DQ182" s="81"/>
      <c r="DR182" s="81"/>
      <c r="DS182" s="85"/>
      <c r="DU182" s="81">
        <v>21.0</v>
      </c>
      <c r="DV182" s="81">
        <v>80.0</v>
      </c>
      <c r="DW182" s="85">
        <f t="shared" si="28"/>
        <v>673.1141975</v>
      </c>
      <c r="DX182" s="81"/>
      <c r="DY182" s="81"/>
      <c r="DZ182" s="85"/>
      <c r="EB182" s="81">
        <v>21.0</v>
      </c>
      <c r="EC182" s="81">
        <v>80.0</v>
      </c>
      <c r="ED182" s="85">
        <f t="shared" si="29"/>
        <v>553.4875346</v>
      </c>
      <c r="EE182" s="81"/>
      <c r="EF182" s="81"/>
      <c r="EG182" s="85"/>
    </row>
    <row r="183" ht="14.25" customHeight="1">
      <c r="A183" s="81">
        <v>12.0</v>
      </c>
      <c r="B183" s="81">
        <v>23.0</v>
      </c>
      <c r="C183" s="81">
        <v>83.0</v>
      </c>
      <c r="D183" s="81"/>
      <c r="E183" s="81"/>
      <c r="F183" s="83"/>
      <c r="G183" s="84"/>
      <c r="H183" s="85"/>
      <c r="I183" s="81">
        <v>23.0</v>
      </c>
      <c r="J183" s="81">
        <v>83.0</v>
      </c>
      <c r="K183" s="85">
        <f t="shared" si="11"/>
        <v>474.7811634</v>
      </c>
      <c r="M183" s="83"/>
      <c r="N183" s="84"/>
      <c r="O183" s="85"/>
      <c r="P183" s="81">
        <v>23.0</v>
      </c>
      <c r="Q183" s="81">
        <v>83.0</v>
      </c>
      <c r="R183" s="85">
        <f t="shared" si="30"/>
        <v>358.8919753</v>
      </c>
      <c r="T183" s="83"/>
      <c r="U183" s="84"/>
      <c r="V183" s="85"/>
      <c r="W183" s="81">
        <v>23.0</v>
      </c>
      <c r="X183" s="81">
        <v>83.0</v>
      </c>
      <c r="Y183" s="85">
        <f t="shared" si="31"/>
        <v>248.5259516</v>
      </c>
      <c r="AA183" s="83"/>
      <c r="AB183" s="84"/>
      <c r="AC183" s="85"/>
      <c r="AD183" s="81">
        <v>23.0</v>
      </c>
      <c r="AE183" s="81">
        <v>83.0</v>
      </c>
      <c r="AF183" s="85">
        <f t="shared" si="32"/>
        <v>148.5351563</v>
      </c>
      <c r="AH183" s="83"/>
      <c r="AI183" s="84"/>
      <c r="AJ183" s="85"/>
      <c r="AK183" s="81">
        <v>23.0</v>
      </c>
      <c r="AL183" s="81">
        <v>83.0</v>
      </c>
      <c r="AM183" s="85">
        <f t="shared" si="33"/>
        <v>69.44444444</v>
      </c>
      <c r="AO183" s="83"/>
      <c r="AP183" s="84"/>
      <c r="AQ183" s="85"/>
      <c r="AR183" s="81">
        <v>23.0</v>
      </c>
      <c r="AS183" s="81">
        <v>83.0</v>
      </c>
      <c r="AT183" s="85">
        <f t="shared" si="34"/>
        <v>19.6122449</v>
      </c>
      <c r="AV183" s="83"/>
      <c r="AW183" s="84"/>
      <c r="AX183" s="85"/>
      <c r="AY183" s="81">
        <v>23.0</v>
      </c>
      <c r="AZ183" s="81">
        <v>83.0</v>
      </c>
      <c r="BA183" s="85">
        <f t="shared" si="35"/>
        <v>1.159763314</v>
      </c>
      <c r="BC183" s="83"/>
      <c r="BD183" s="84"/>
      <c r="BE183" s="85"/>
      <c r="BF183" s="81">
        <v>23.0</v>
      </c>
      <c r="BG183" s="81">
        <v>83.0</v>
      </c>
      <c r="BH183" s="85">
        <f t="shared" si="36"/>
        <v>4.340277778</v>
      </c>
      <c r="BJ183" s="83"/>
      <c r="BK183" s="84"/>
      <c r="BL183" s="85"/>
      <c r="BM183" s="81">
        <v>23.0</v>
      </c>
      <c r="BN183" s="81">
        <v>83.0</v>
      </c>
      <c r="BO183" s="85">
        <f t="shared" si="37"/>
        <v>25.91735537</v>
      </c>
      <c r="BQ183" s="83"/>
      <c r="BR183" s="84"/>
      <c r="BS183" s="85"/>
      <c r="BT183" s="81">
        <v>23.0</v>
      </c>
      <c r="BU183" s="81">
        <v>83.0</v>
      </c>
      <c r="BV183" s="85">
        <f t="shared" si="38"/>
        <v>70.56</v>
      </c>
      <c r="BX183" s="83"/>
      <c r="BY183" s="84"/>
      <c r="BZ183" s="85"/>
      <c r="CA183" s="81">
        <v>23.0</v>
      </c>
      <c r="CB183" s="81">
        <v>83.0</v>
      </c>
      <c r="CC183" s="85">
        <f t="shared" si="39"/>
        <v>93.44444444</v>
      </c>
      <c r="CE183" s="81">
        <v>22.0</v>
      </c>
      <c r="CF183" s="81">
        <v>83.0</v>
      </c>
      <c r="CG183" s="85">
        <f t="shared" si="22"/>
        <v>2288.027778</v>
      </c>
      <c r="CH183" s="81">
        <v>23.0</v>
      </c>
      <c r="CI183" s="81">
        <v>83.0</v>
      </c>
      <c r="CJ183" s="85">
        <f t="shared" ref="CJ183:CJ190" si="40">(CI183 - CI$192)^2</f>
        <v>118.265625</v>
      </c>
      <c r="CL183" s="81">
        <v>22.0</v>
      </c>
      <c r="CM183" s="81">
        <v>83.0</v>
      </c>
      <c r="CN183" s="85">
        <f t="shared" si="23"/>
        <v>1949.56213</v>
      </c>
      <c r="CO183" s="81"/>
      <c r="CP183" s="81"/>
      <c r="CQ183" s="85"/>
      <c r="CS183" s="81">
        <v>22.0</v>
      </c>
      <c r="CT183" s="81">
        <v>83.0</v>
      </c>
      <c r="CU183" s="85">
        <f t="shared" si="24"/>
        <v>1681</v>
      </c>
      <c r="CV183" s="81"/>
      <c r="CW183" s="81"/>
      <c r="CX183" s="85"/>
      <c r="CZ183" s="81">
        <v>22.0</v>
      </c>
      <c r="DA183" s="81">
        <v>83.0</v>
      </c>
      <c r="DB183" s="85">
        <f t="shared" si="25"/>
        <v>1454.151111</v>
      </c>
      <c r="DC183" s="81"/>
      <c r="DD183" s="81"/>
      <c r="DE183" s="85"/>
      <c r="DG183" s="81">
        <v>22.0</v>
      </c>
      <c r="DH183" s="81">
        <v>83.0</v>
      </c>
      <c r="DI183" s="85">
        <f t="shared" si="26"/>
        <v>1203.222656</v>
      </c>
      <c r="DJ183" s="81"/>
      <c r="DK183" s="81"/>
      <c r="DL183" s="85"/>
      <c r="DN183" s="81">
        <v>22.0</v>
      </c>
      <c r="DO183" s="81">
        <v>83.0</v>
      </c>
      <c r="DP183" s="85">
        <f t="shared" si="27"/>
        <v>1001.536332</v>
      </c>
      <c r="DQ183" s="81"/>
      <c r="DR183" s="81"/>
      <c r="DS183" s="85"/>
      <c r="DU183" s="81">
        <v>22.0</v>
      </c>
      <c r="DV183" s="81">
        <v>83.0</v>
      </c>
      <c r="DW183" s="85">
        <f t="shared" si="28"/>
        <v>837.7808642</v>
      </c>
      <c r="DX183" s="81"/>
      <c r="DY183" s="81"/>
      <c r="DZ183" s="85"/>
      <c r="EB183" s="81">
        <v>22.0</v>
      </c>
      <c r="EC183" s="81">
        <v>83.0</v>
      </c>
      <c r="ED183" s="85">
        <f t="shared" si="29"/>
        <v>703.6454294</v>
      </c>
      <c r="EE183" s="81"/>
      <c r="EF183" s="81"/>
      <c r="EG183" s="85"/>
    </row>
    <row r="184" ht="14.25" customHeight="1">
      <c r="A184" s="81">
        <v>13.0</v>
      </c>
      <c r="B184" s="81">
        <v>24.0</v>
      </c>
      <c r="C184" s="81">
        <v>83.0</v>
      </c>
      <c r="D184" s="81"/>
      <c r="E184" s="81"/>
      <c r="F184" s="83"/>
      <c r="G184" s="84"/>
      <c r="H184" s="85"/>
      <c r="I184" s="81">
        <v>24.0</v>
      </c>
      <c r="J184" s="81">
        <v>83.0</v>
      </c>
      <c r="K184" s="85">
        <f t="shared" si="11"/>
        <v>474.7811634</v>
      </c>
      <c r="M184" s="83"/>
      <c r="N184" s="84"/>
      <c r="O184" s="85"/>
      <c r="P184" s="81">
        <v>24.0</v>
      </c>
      <c r="Q184" s="81">
        <v>83.0</v>
      </c>
      <c r="R184" s="85">
        <f t="shared" si="30"/>
        <v>358.8919753</v>
      </c>
      <c r="T184" s="83"/>
      <c r="U184" s="84"/>
      <c r="V184" s="85"/>
      <c r="W184" s="81">
        <v>24.0</v>
      </c>
      <c r="X184" s="81">
        <v>83.0</v>
      </c>
      <c r="Y184" s="85">
        <f t="shared" si="31"/>
        <v>248.5259516</v>
      </c>
      <c r="AA184" s="83"/>
      <c r="AB184" s="84"/>
      <c r="AC184" s="85"/>
      <c r="AD184" s="81">
        <v>24.0</v>
      </c>
      <c r="AE184" s="81">
        <v>83.0</v>
      </c>
      <c r="AF184" s="85">
        <f t="shared" si="32"/>
        <v>148.5351563</v>
      </c>
      <c r="AH184" s="83"/>
      <c r="AI184" s="84"/>
      <c r="AJ184" s="85"/>
      <c r="AK184" s="81">
        <v>24.0</v>
      </c>
      <c r="AL184" s="81">
        <v>83.0</v>
      </c>
      <c r="AM184" s="85">
        <f t="shared" si="33"/>
        <v>69.44444444</v>
      </c>
      <c r="AO184" s="83"/>
      <c r="AP184" s="84"/>
      <c r="AQ184" s="85"/>
      <c r="AR184" s="81">
        <v>24.0</v>
      </c>
      <c r="AS184" s="81">
        <v>83.0</v>
      </c>
      <c r="AT184" s="85">
        <f t="shared" si="34"/>
        <v>19.6122449</v>
      </c>
      <c r="AV184" s="83"/>
      <c r="AW184" s="84"/>
      <c r="AX184" s="85"/>
      <c r="AY184" s="81">
        <v>24.0</v>
      </c>
      <c r="AZ184" s="81">
        <v>83.0</v>
      </c>
      <c r="BA184" s="85">
        <f t="shared" si="35"/>
        <v>1.159763314</v>
      </c>
      <c r="BC184" s="83"/>
      <c r="BD184" s="84"/>
      <c r="BE184" s="85"/>
      <c r="BF184" s="81">
        <v>24.0</v>
      </c>
      <c r="BG184" s="81">
        <v>83.0</v>
      </c>
      <c r="BH184" s="85">
        <f t="shared" si="36"/>
        <v>4.340277778</v>
      </c>
      <c r="BJ184" s="83"/>
      <c r="BK184" s="84"/>
      <c r="BL184" s="85"/>
      <c r="BM184" s="81">
        <v>24.0</v>
      </c>
      <c r="BN184" s="81">
        <v>83.0</v>
      </c>
      <c r="BO184" s="85">
        <f t="shared" si="37"/>
        <v>25.91735537</v>
      </c>
      <c r="BQ184" s="83"/>
      <c r="BR184" s="84"/>
      <c r="BS184" s="85"/>
      <c r="BT184" s="81">
        <v>24.0</v>
      </c>
      <c r="BU184" s="81">
        <v>83.0</v>
      </c>
      <c r="BV184" s="85">
        <f t="shared" si="38"/>
        <v>70.56</v>
      </c>
      <c r="BX184" s="83"/>
      <c r="BY184" s="84"/>
      <c r="BZ184" s="85"/>
      <c r="CA184" s="81">
        <v>24.0</v>
      </c>
      <c r="CB184" s="81">
        <v>83.0</v>
      </c>
      <c r="CC184" s="85">
        <f t="shared" si="39"/>
        <v>93.44444444</v>
      </c>
      <c r="CE184" s="83"/>
      <c r="CF184" s="84"/>
      <c r="CG184" s="85"/>
      <c r="CH184" s="81">
        <v>24.0</v>
      </c>
      <c r="CI184" s="81">
        <v>83.0</v>
      </c>
      <c r="CJ184" s="85">
        <f t="shared" si="40"/>
        <v>118.265625</v>
      </c>
      <c r="CL184" s="81">
        <v>23.0</v>
      </c>
      <c r="CM184" s="81">
        <v>83.0</v>
      </c>
      <c r="CN184" s="85">
        <f t="shared" si="23"/>
        <v>1949.56213</v>
      </c>
      <c r="CO184" s="81">
        <v>24.0</v>
      </c>
      <c r="CP184" s="81">
        <v>83.0</v>
      </c>
      <c r="CQ184" s="85">
        <f t="shared" ref="CQ184:CQ190" si="41">(CP184 - CP$192)^2</f>
        <v>154.4693878</v>
      </c>
      <c r="CS184" s="81">
        <v>23.0</v>
      </c>
      <c r="CT184" s="81">
        <v>83.0</v>
      </c>
      <c r="CU184" s="85">
        <f t="shared" si="24"/>
        <v>1681</v>
      </c>
      <c r="CV184" s="81"/>
      <c r="CW184" s="81"/>
      <c r="CX184" s="85"/>
      <c r="CZ184" s="81">
        <v>23.0</v>
      </c>
      <c r="DA184" s="81">
        <v>83.0</v>
      </c>
      <c r="DB184" s="85">
        <f t="shared" si="25"/>
        <v>1454.151111</v>
      </c>
      <c r="DC184" s="81"/>
      <c r="DD184" s="81"/>
      <c r="DE184" s="85"/>
      <c r="DG184" s="81">
        <v>23.0</v>
      </c>
      <c r="DH184" s="81">
        <v>83.0</v>
      </c>
      <c r="DI184" s="85">
        <f t="shared" si="26"/>
        <v>1203.222656</v>
      </c>
      <c r="DJ184" s="81"/>
      <c r="DK184" s="81"/>
      <c r="DL184" s="85"/>
      <c r="DN184" s="81">
        <v>23.0</v>
      </c>
      <c r="DO184" s="81">
        <v>83.0</v>
      </c>
      <c r="DP184" s="85">
        <f t="shared" si="27"/>
        <v>1001.536332</v>
      </c>
      <c r="DQ184" s="81"/>
      <c r="DR184" s="81"/>
      <c r="DS184" s="85"/>
      <c r="DU184" s="81">
        <v>23.0</v>
      </c>
      <c r="DV184" s="81">
        <v>83.0</v>
      </c>
      <c r="DW184" s="85">
        <f t="shared" si="28"/>
        <v>837.7808642</v>
      </c>
      <c r="DX184" s="81"/>
      <c r="DY184" s="81"/>
      <c r="DZ184" s="85"/>
      <c r="EB184" s="81">
        <v>23.0</v>
      </c>
      <c r="EC184" s="81">
        <v>83.0</v>
      </c>
      <c r="ED184" s="85">
        <f t="shared" si="29"/>
        <v>703.6454294</v>
      </c>
      <c r="EE184" s="81"/>
      <c r="EF184" s="81"/>
      <c r="EG184" s="85"/>
    </row>
    <row r="185" ht="14.25" customHeight="1">
      <c r="A185" s="81">
        <v>14.0</v>
      </c>
      <c r="B185" s="81">
        <v>25.0</v>
      </c>
      <c r="C185" s="81">
        <v>85.0</v>
      </c>
      <c r="D185" s="81"/>
      <c r="E185" s="81"/>
      <c r="F185" s="83"/>
      <c r="G185" s="84"/>
      <c r="H185" s="85"/>
      <c r="I185" s="81">
        <v>25.0</v>
      </c>
      <c r="J185" s="81">
        <v>85.0</v>
      </c>
      <c r="K185" s="85">
        <f t="shared" si="11"/>
        <v>565.9390582</v>
      </c>
      <c r="M185" s="83"/>
      <c r="N185" s="84"/>
      <c r="O185" s="85"/>
      <c r="P185" s="81">
        <v>25.0</v>
      </c>
      <c r="Q185" s="81">
        <v>85.0</v>
      </c>
      <c r="R185" s="85">
        <f t="shared" si="30"/>
        <v>438.6697531</v>
      </c>
      <c r="T185" s="83"/>
      <c r="U185" s="84"/>
      <c r="V185" s="85"/>
      <c r="W185" s="81">
        <v>25.0</v>
      </c>
      <c r="X185" s="81">
        <v>85.0</v>
      </c>
      <c r="Y185" s="85">
        <f t="shared" si="31"/>
        <v>315.5847751</v>
      </c>
      <c r="AA185" s="83"/>
      <c r="AB185" s="84"/>
      <c r="AC185" s="85"/>
      <c r="AD185" s="81">
        <v>25.0</v>
      </c>
      <c r="AE185" s="81">
        <v>85.0</v>
      </c>
      <c r="AF185" s="85">
        <f t="shared" si="32"/>
        <v>201.2851563</v>
      </c>
      <c r="AH185" s="83"/>
      <c r="AI185" s="84"/>
      <c r="AJ185" s="85"/>
      <c r="AK185" s="81">
        <v>25.0</v>
      </c>
      <c r="AL185" s="81">
        <v>85.0</v>
      </c>
      <c r="AM185" s="85">
        <f t="shared" si="33"/>
        <v>106.7777778</v>
      </c>
      <c r="AO185" s="83"/>
      <c r="AP185" s="84"/>
      <c r="AQ185" s="85"/>
      <c r="AR185" s="81">
        <v>25.0</v>
      </c>
      <c r="AS185" s="81">
        <v>85.0</v>
      </c>
      <c r="AT185" s="85">
        <f t="shared" si="34"/>
        <v>41.32653061</v>
      </c>
      <c r="AV185" s="83"/>
      <c r="AW185" s="84"/>
      <c r="AX185" s="85"/>
      <c r="AY185" s="81">
        <v>25.0</v>
      </c>
      <c r="AZ185" s="81">
        <v>85.0</v>
      </c>
      <c r="BA185" s="85">
        <f t="shared" si="35"/>
        <v>9.467455621</v>
      </c>
      <c r="BC185" s="83"/>
      <c r="BD185" s="84"/>
      <c r="BE185" s="85"/>
      <c r="BF185" s="81">
        <v>25.0</v>
      </c>
      <c r="BG185" s="81">
        <v>85.0</v>
      </c>
      <c r="BH185" s="85">
        <f t="shared" si="36"/>
        <v>0.006944444444</v>
      </c>
      <c r="BJ185" s="83"/>
      <c r="BK185" s="84"/>
      <c r="BL185" s="85"/>
      <c r="BM185" s="81">
        <v>25.0</v>
      </c>
      <c r="BN185" s="81">
        <v>85.0</v>
      </c>
      <c r="BO185" s="85">
        <f t="shared" si="37"/>
        <v>9.553719008</v>
      </c>
      <c r="BQ185" s="83"/>
      <c r="BR185" s="84"/>
      <c r="BS185" s="85"/>
      <c r="BT185" s="81">
        <v>25.0</v>
      </c>
      <c r="BU185" s="81">
        <v>85.0</v>
      </c>
      <c r="BV185" s="85">
        <f t="shared" si="38"/>
        <v>40.96</v>
      </c>
      <c r="BX185" s="83"/>
      <c r="BY185" s="84"/>
      <c r="BZ185" s="85"/>
      <c r="CA185" s="81">
        <v>25.0</v>
      </c>
      <c r="CB185" s="81">
        <v>85.0</v>
      </c>
      <c r="CC185" s="85">
        <f t="shared" si="39"/>
        <v>58.77777778</v>
      </c>
      <c r="CE185" s="83"/>
      <c r="CF185" s="84"/>
      <c r="CG185" s="85"/>
      <c r="CH185" s="81">
        <v>25.0</v>
      </c>
      <c r="CI185" s="81">
        <v>85.0</v>
      </c>
      <c r="CJ185" s="85">
        <f t="shared" si="40"/>
        <v>78.765625</v>
      </c>
      <c r="CL185" s="83"/>
      <c r="CM185" s="84"/>
      <c r="CN185" s="85"/>
      <c r="CO185" s="81">
        <v>25.0</v>
      </c>
      <c r="CP185" s="81">
        <v>85.0</v>
      </c>
      <c r="CQ185" s="85">
        <f t="shared" si="41"/>
        <v>108.755102</v>
      </c>
      <c r="CS185" s="81">
        <v>24.0</v>
      </c>
      <c r="CT185" s="81">
        <v>83.0</v>
      </c>
      <c r="CU185" s="85">
        <f t="shared" si="24"/>
        <v>1681</v>
      </c>
      <c r="CV185" s="81">
        <v>25.0</v>
      </c>
      <c r="CW185" s="81">
        <v>85.0</v>
      </c>
      <c r="CX185" s="85">
        <f t="shared" ref="CX185:CX190" si="42">(CW185 - CW$192)^2</f>
        <v>156.25</v>
      </c>
      <c r="CZ185" s="81">
        <v>24.0</v>
      </c>
      <c r="DA185" s="81">
        <v>83.0</v>
      </c>
      <c r="DB185" s="85">
        <f t="shared" si="25"/>
        <v>1454.151111</v>
      </c>
      <c r="DC185" s="81"/>
      <c r="DD185" s="81"/>
      <c r="DE185" s="85"/>
      <c r="DG185" s="81">
        <v>24.0</v>
      </c>
      <c r="DH185" s="81">
        <v>83.0</v>
      </c>
      <c r="DI185" s="85">
        <f t="shared" si="26"/>
        <v>1203.222656</v>
      </c>
      <c r="DJ185" s="81"/>
      <c r="DK185" s="81"/>
      <c r="DL185" s="85"/>
      <c r="DN185" s="81">
        <v>24.0</v>
      </c>
      <c r="DO185" s="81">
        <v>83.0</v>
      </c>
      <c r="DP185" s="85">
        <f t="shared" si="27"/>
        <v>1001.536332</v>
      </c>
      <c r="DQ185" s="81"/>
      <c r="DR185" s="81"/>
      <c r="DS185" s="85"/>
      <c r="DU185" s="81">
        <v>24.0</v>
      </c>
      <c r="DV185" s="81">
        <v>83.0</v>
      </c>
      <c r="DW185" s="85">
        <f t="shared" si="28"/>
        <v>837.7808642</v>
      </c>
      <c r="DX185" s="81"/>
      <c r="DY185" s="81"/>
      <c r="DZ185" s="85"/>
      <c r="EB185" s="81">
        <v>24.0</v>
      </c>
      <c r="EC185" s="81">
        <v>83.0</v>
      </c>
      <c r="ED185" s="85">
        <f t="shared" si="29"/>
        <v>703.6454294</v>
      </c>
      <c r="EE185" s="81"/>
      <c r="EF185" s="81"/>
      <c r="EG185" s="85"/>
    </row>
    <row r="186" ht="14.25" customHeight="1">
      <c r="A186" s="81">
        <v>15.0</v>
      </c>
      <c r="B186" s="81">
        <v>28.0</v>
      </c>
      <c r="C186" s="81">
        <v>100.0</v>
      </c>
      <c r="D186" s="81"/>
      <c r="E186" s="81"/>
      <c r="F186" s="83"/>
      <c r="G186" s="84"/>
      <c r="H186" s="85"/>
      <c r="I186" s="81">
        <v>28.0</v>
      </c>
      <c r="J186" s="81">
        <v>100.0</v>
      </c>
      <c r="K186" s="85">
        <f t="shared" si="11"/>
        <v>1504.623269</v>
      </c>
      <c r="M186" s="83"/>
      <c r="N186" s="84"/>
      <c r="O186" s="85"/>
      <c r="P186" s="81">
        <v>28.0</v>
      </c>
      <c r="Q186" s="81">
        <v>100.0</v>
      </c>
      <c r="R186" s="85">
        <f t="shared" si="30"/>
        <v>1292.003086</v>
      </c>
      <c r="T186" s="83"/>
      <c r="U186" s="84"/>
      <c r="V186" s="85"/>
      <c r="W186" s="81">
        <v>28.0</v>
      </c>
      <c r="X186" s="81">
        <v>100.0</v>
      </c>
      <c r="Y186" s="85">
        <f t="shared" si="31"/>
        <v>1073.525952</v>
      </c>
      <c r="AA186" s="83"/>
      <c r="AB186" s="84"/>
      <c r="AC186" s="85"/>
      <c r="AD186" s="81">
        <v>28.0</v>
      </c>
      <c r="AE186" s="81">
        <v>100.0</v>
      </c>
      <c r="AF186" s="85">
        <f t="shared" si="32"/>
        <v>851.9101563</v>
      </c>
      <c r="AH186" s="83"/>
      <c r="AI186" s="84"/>
      <c r="AJ186" s="85"/>
      <c r="AK186" s="81">
        <v>28.0</v>
      </c>
      <c r="AL186" s="81">
        <v>100.0</v>
      </c>
      <c r="AM186" s="85">
        <f t="shared" si="33"/>
        <v>641.7777778</v>
      </c>
      <c r="AO186" s="83"/>
      <c r="AP186" s="84"/>
      <c r="AQ186" s="85"/>
      <c r="AR186" s="81">
        <v>28.0</v>
      </c>
      <c r="AS186" s="81">
        <v>100.0</v>
      </c>
      <c r="AT186" s="85">
        <f t="shared" si="34"/>
        <v>459.1836735</v>
      </c>
      <c r="AV186" s="83"/>
      <c r="AW186" s="84"/>
      <c r="AX186" s="85"/>
      <c r="AY186" s="81">
        <v>28.0</v>
      </c>
      <c r="AZ186" s="81">
        <v>100.0</v>
      </c>
      <c r="BA186" s="85">
        <f t="shared" si="35"/>
        <v>326.7751479</v>
      </c>
      <c r="BC186" s="83"/>
      <c r="BD186" s="84"/>
      <c r="BE186" s="85"/>
      <c r="BF186" s="81">
        <v>28.0</v>
      </c>
      <c r="BG186" s="81">
        <v>100.0</v>
      </c>
      <c r="BH186" s="85">
        <f t="shared" si="36"/>
        <v>222.5069444</v>
      </c>
      <c r="BJ186" s="83"/>
      <c r="BK186" s="84"/>
      <c r="BL186" s="85"/>
      <c r="BM186" s="81">
        <v>28.0</v>
      </c>
      <c r="BN186" s="81">
        <v>100.0</v>
      </c>
      <c r="BO186" s="85">
        <f t="shared" si="37"/>
        <v>141.8264463</v>
      </c>
      <c r="BQ186" s="83"/>
      <c r="BR186" s="84"/>
      <c r="BS186" s="85"/>
      <c r="BT186" s="81">
        <v>28.0</v>
      </c>
      <c r="BU186" s="81">
        <v>100.0</v>
      </c>
      <c r="BV186" s="85">
        <f t="shared" si="38"/>
        <v>73.96</v>
      </c>
      <c r="BX186" s="83"/>
      <c r="BY186" s="84"/>
      <c r="BZ186" s="85"/>
      <c r="CA186" s="81">
        <v>28.0</v>
      </c>
      <c r="CB186" s="81">
        <v>100.0</v>
      </c>
      <c r="CC186" s="85">
        <f t="shared" si="39"/>
        <v>53.77777778</v>
      </c>
      <c r="CE186" s="83"/>
      <c r="CF186" s="84"/>
      <c r="CG186" s="85"/>
      <c r="CH186" s="81">
        <v>28.0</v>
      </c>
      <c r="CI186" s="81">
        <v>100.0</v>
      </c>
      <c r="CJ186" s="85">
        <f t="shared" si="40"/>
        <v>37.515625</v>
      </c>
      <c r="CL186" s="83"/>
      <c r="CM186" s="84"/>
      <c r="CN186" s="85"/>
      <c r="CO186" s="81">
        <v>28.0</v>
      </c>
      <c r="CP186" s="81">
        <v>100.0</v>
      </c>
      <c r="CQ186" s="85">
        <f t="shared" si="41"/>
        <v>20.89795918</v>
      </c>
      <c r="CS186" s="83"/>
      <c r="CT186" s="84"/>
      <c r="CU186" s="85"/>
      <c r="CV186" s="81">
        <v>28.0</v>
      </c>
      <c r="CW186" s="81">
        <v>100.0</v>
      </c>
      <c r="CX186" s="85">
        <f t="shared" si="42"/>
        <v>6.25</v>
      </c>
      <c r="CZ186" s="81">
        <v>25.0</v>
      </c>
      <c r="DA186" s="81">
        <v>85.0</v>
      </c>
      <c r="DB186" s="85">
        <f t="shared" si="25"/>
        <v>1610.684444</v>
      </c>
      <c r="DC186" s="81">
        <v>28.0</v>
      </c>
      <c r="DD186" s="81">
        <v>100.0</v>
      </c>
      <c r="DE186" s="85">
        <f t="shared" ref="DE186:DE190" si="43">(DD186 - DD$192)^2</f>
        <v>0</v>
      </c>
      <c r="DG186" s="81">
        <v>25.0</v>
      </c>
      <c r="DH186" s="81">
        <v>85.0</v>
      </c>
      <c r="DI186" s="85">
        <f t="shared" si="26"/>
        <v>1345.972656</v>
      </c>
      <c r="DJ186" s="81"/>
      <c r="DK186" s="81"/>
      <c r="DL186" s="85"/>
      <c r="DN186" s="81">
        <v>25.0</v>
      </c>
      <c r="DO186" s="81">
        <v>85.0</v>
      </c>
      <c r="DP186" s="85">
        <f t="shared" si="27"/>
        <v>1132.124567</v>
      </c>
      <c r="DQ186" s="81"/>
      <c r="DR186" s="81"/>
      <c r="DS186" s="85"/>
      <c r="DU186" s="81">
        <v>25.0</v>
      </c>
      <c r="DV186" s="81">
        <v>85.0</v>
      </c>
      <c r="DW186" s="85">
        <f t="shared" si="28"/>
        <v>957.558642</v>
      </c>
      <c r="DX186" s="81"/>
      <c r="DY186" s="81"/>
      <c r="DZ186" s="85"/>
      <c r="EB186" s="81">
        <v>25.0</v>
      </c>
      <c r="EC186" s="81">
        <v>85.0</v>
      </c>
      <c r="ED186" s="85">
        <f t="shared" si="29"/>
        <v>813.7506925</v>
      </c>
      <c r="EE186" s="81"/>
      <c r="EF186" s="81"/>
      <c r="EG186" s="85"/>
    </row>
    <row r="187" ht="14.25" customHeight="1">
      <c r="A187" s="81">
        <v>16.0</v>
      </c>
      <c r="B187" s="81">
        <v>29.0</v>
      </c>
      <c r="C187" s="81">
        <v>100.0</v>
      </c>
      <c r="D187" s="81"/>
      <c r="E187" s="81"/>
      <c r="F187" s="83"/>
      <c r="G187" s="84"/>
      <c r="H187" s="85"/>
      <c r="I187" s="81">
        <v>29.0</v>
      </c>
      <c r="J187" s="81">
        <v>100.0</v>
      </c>
      <c r="K187" s="85">
        <f t="shared" si="11"/>
        <v>1504.623269</v>
      </c>
      <c r="M187" s="83"/>
      <c r="N187" s="84"/>
      <c r="O187" s="85"/>
      <c r="P187" s="81">
        <v>29.0</v>
      </c>
      <c r="Q187" s="81">
        <v>100.0</v>
      </c>
      <c r="R187" s="85">
        <f t="shared" si="30"/>
        <v>1292.003086</v>
      </c>
      <c r="T187" s="83"/>
      <c r="U187" s="84"/>
      <c r="V187" s="85"/>
      <c r="W187" s="81">
        <v>29.0</v>
      </c>
      <c r="X187" s="81">
        <v>100.0</v>
      </c>
      <c r="Y187" s="85">
        <f t="shared" si="31"/>
        <v>1073.525952</v>
      </c>
      <c r="AA187" s="83"/>
      <c r="AB187" s="84"/>
      <c r="AC187" s="85"/>
      <c r="AD187" s="81">
        <v>29.0</v>
      </c>
      <c r="AE187" s="81">
        <v>100.0</v>
      </c>
      <c r="AF187" s="85">
        <f t="shared" si="32"/>
        <v>851.9101563</v>
      </c>
      <c r="AH187" s="83"/>
      <c r="AI187" s="84"/>
      <c r="AJ187" s="85"/>
      <c r="AK187" s="81">
        <v>29.0</v>
      </c>
      <c r="AL187" s="81">
        <v>100.0</v>
      </c>
      <c r="AM187" s="85">
        <f t="shared" si="33"/>
        <v>641.7777778</v>
      </c>
      <c r="AO187" s="83"/>
      <c r="AP187" s="84"/>
      <c r="AQ187" s="85"/>
      <c r="AR187" s="81">
        <v>29.0</v>
      </c>
      <c r="AS187" s="81">
        <v>100.0</v>
      </c>
      <c r="AT187" s="85">
        <f t="shared" si="34"/>
        <v>459.1836735</v>
      </c>
      <c r="AV187" s="83"/>
      <c r="AW187" s="84"/>
      <c r="AX187" s="85"/>
      <c r="AY187" s="81">
        <v>29.0</v>
      </c>
      <c r="AZ187" s="81">
        <v>100.0</v>
      </c>
      <c r="BA187" s="85">
        <f t="shared" si="35"/>
        <v>326.7751479</v>
      </c>
      <c r="BC187" s="83"/>
      <c r="BD187" s="84"/>
      <c r="BE187" s="85"/>
      <c r="BF187" s="81">
        <v>29.0</v>
      </c>
      <c r="BG187" s="81">
        <v>100.0</v>
      </c>
      <c r="BH187" s="85">
        <f t="shared" si="36"/>
        <v>222.5069444</v>
      </c>
      <c r="BJ187" s="83"/>
      <c r="BK187" s="84"/>
      <c r="BL187" s="85"/>
      <c r="BM187" s="81">
        <v>29.0</v>
      </c>
      <c r="BN187" s="81">
        <v>100.0</v>
      </c>
      <c r="BO187" s="85">
        <f t="shared" si="37"/>
        <v>141.8264463</v>
      </c>
      <c r="BQ187" s="83"/>
      <c r="BR187" s="84"/>
      <c r="BS187" s="85"/>
      <c r="BT187" s="81">
        <v>29.0</v>
      </c>
      <c r="BU187" s="81">
        <v>100.0</v>
      </c>
      <c r="BV187" s="85">
        <f t="shared" si="38"/>
        <v>73.96</v>
      </c>
      <c r="BX187" s="83"/>
      <c r="BY187" s="84"/>
      <c r="BZ187" s="85"/>
      <c r="CA187" s="81">
        <v>29.0</v>
      </c>
      <c r="CB187" s="81">
        <v>100.0</v>
      </c>
      <c r="CC187" s="85">
        <f t="shared" si="39"/>
        <v>53.77777778</v>
      </c>
      <c r="CE187" s="83"/>
      <c r="CF187" s="84"/>
      <c r="CG187" s="85"/>
      <c r="CH187" s="81">
        <v>29.0</v>
      </c>
      <c r="CI187" s="81">
        <v>100.0</v>
      </c>
      <c r="CJ187" s="85">
        <f t="shared" si="40"/>
        <v>37.515625</v>
      </c>
      <c r="CL187" s="83"/>
      <c r="CM187" s="84"/>
      <c r="CN187" s="85"/>
      <c r="CO187" s="81">
        <v>29.0</v>
      </c>
      <c r="CP187" s="81">
        <v>100.0</v>
      </c>
      <c r="CQ187" s="85">
        <f t="shared" si="41"/>
        <v>20.89795918</v>
      </c>
      <c r="CS187" s="83"/>
      <c r="CT187" s="84"/>
      <c r="CU187" s="85"/>
      <c r="CV187" s="81">
        <v>29.0</v>
      </c>
      <c r="CW187" s="81">
        <v>100.0</v>
      </c>
      <c r="CX187" s="85">
        <f t="shared" si="42"/>
        <v>6.25</v>
      </c>
      <c r="CZ187" s="83"/>
      <c r="DA187" s="84"/>
      <c r="DB187" s="85"/>
      <c r="DC187" s="81">
        <v>29.0</v>
      </c>
      <c r="DD187" s="81">
        <v>100.0</v>
      </c>
      <c r="DE187" s="85">
        <f t="shared" si="43"/>
        <v>0</v>
      </c>
      <c r="DG187" s="81">
        <v>28.0</v>
      </c>
      <c r="DH187" s="81">
        <v>100.0</v>
      </c>
      <c r="DI187" s="85">
        <f t="shared" si="26"/>
        <v>2671.597656</v>
      </c>
      <c r="DJ187" s="81">
        <v>29.0</v>
      </c>
      <c r="DK187" s="81">
        <v>100.0</v>
      </c>
      <c r="DL187" s="85">
        <f t="shared" ref="DL187:DL190" si="44">(DK187 - DK$192)^2</f>
        <v>0</v>
      </c>
      <c r="DN187" s="81">
        <v>28.0</v>
      </c>
      <c r="DO187" s="81">
        <v>100.0</v>
      </c>
      <c r="DP187" s="85">
        <f t="shared" si="27"/>
        <v>2366.536332</v>
      </c>
      <c r="DQ187" s="81"/>
      <c r="DR187" s="81"/>
      <c r="DS187" s="85"/>
      <c r="DU187" s="81">
        <v>28.0</v>
      </c>
      <c r="DV187" s="81">
        <v>100.0</v>
      </c>
      <c r="DW187" s="85">
        <f t="shared" si="28"/>
        <v>2110.891975</v>
      </c>
      <c r="DX187" s="81"/>
      <c r="DY187" s="81"/>
      <c r="DZ187" s="85"/>
      <c r="EB187" s="81">
        <v>28.0</v>
      </c>
      <c r="EC187" s="81">
        <v>100.0</v>
      </c>
      <c r="ED187" s="85">
        <f t="shared" si="29"/>
        <v>1894.540166</v>
      </c>
      <c r="EE187" s="81"/>
      <c r="EF187" s="81"/>
      <c r="EG187" s="85"/>
    </row>
    <row r="188" ht="14.25" customHeight="1">
      <c r="A188" s="81">
        <v>17.0</v>
      </c>
      <c r="B188" s="81">
        <v>30.0</v>
      </c>
      <c r="C188" s="81">
        <v>100.0</v>
      </c>
      <c r="D188" s="81"/>
      <c r="E188" s="81"/>
      <c r="F188" s="83"/>
      <c r="G188" s="84"/>
      <c r="H188" s="85"/>
      <c r="I188" s="81">
        <v>30.0</v>
      </c>
      <c r="J188" s="81">
        <v>100.0</v>
      </c>
      <c r="K188" s="85">
        <f t="shared" si="11"/>
        <v>1504.623269</v>
      </c>
      <c r="M188" s="83"/>
      <c r="N188" s="84"/>
      <c r="O188" s="85"/>
      <c r="P188" s="81">
        <v>30.0</v>
      </c>
      <c r="Q188" s="81">
        <v>100.0</v>
      </c>
      <c r="R188" s="85">
        <f t="shared" si="30"/>
        <v>1292.003086</v>
      </c>
      <c r="T188" s="83"/>
      <c r="U188" s="84"/>
      <c r="V188" s="85"/>
      <c r="W188" s="81">
        <v>30.0</v>
      </c>
      <c r="X188" s="81">
        <v>100.0</v>
      </c>
      <c r="Y188" s="85">
        <f t="shared" si="31"/>
        <v>1073.525952</v>
      </c>
      <c r="AA188" s="83"/>
      <c r="AB188" s="84"/>
      <c r="AC188" s="85"/>
      <c r="AD188" s="81">
        <v>30.0</v>
      </c>
      <c r="AE188" s="81">
        <v>100.0</v>
      </c>
      <c r="AF188" s="85">
        <f t="shared" si="32"/>
        <v>851.9101563</v>
      </c>
      <c r="AH188" s="83"/>
      <c r="AI188" s="84"/>
      <c r="AJ188" s="85"/>
      <c r="AK188" s="81">
        <v>30.0</v>
      </c>
      <c r="AL188" s="81">
        <v>100.0</v>
      </c>
      <c r="AM188" s="85">
        <f t="shared" si="33"/>
        <v>641.7777778</v>
      </c>
      <c r="AO188" s="83"/>
      <c r="AP188" s="84"/>
      <c r="AQ188" s="85"/>
      <c r="AR188" s="81">
        <v>30.0</v>
      </c>
      <c r="AS188" s="81">
        <v>100.0</v>
      </c>
      <c r="AT188" s="85">
        <f t="shared" si="34"/>
        <v>459.1836735</v>
      </c>
      <c r="AV188" s="83"/>
      <c r="AW188" s="84"/>
      <c r="AX188" s="85"/>
      <c r="AY188" s="81">
        <v>30.0</v>
      </c>
      <c r="AZ188" s="81">
        <v>100.0</v>
      </c>
      <c r="BA188" s="85">
        <f t="shared" si="35"/>
        <v>326.7751479</v>
      </c>
      <c r="BC188" s="83"/>
      <c r="BD188" s="84"/>
      <c r="BE188" s="85"/>
      <c r="BF188" s="81">
        <v>30.0</v>
      </c>
      <c r="BG188" s="81">
        <v>100.0</v>
      </c>
      <c r="BH188" s="85">
        <f t="shared" si="36"/>
        <v>222.5069444</v>
      </c>
      <c r="BJ188" s="83"/>
      <c r="BK188" s="84"/>
      <c r="BL188" s="85"/>
      <c r="BM188" s="81">
        <v>30.0</v>
      </c>
      <c r="BN188" s="81">
        <v>100.0</v>
      </c>
      <c r="BO188" s="85">
        <f t="shared" si="37"/>
        <v>141.8264463</v>
      </c>
      <c r="BQ188" s="83"/>
      <c r="BR188" s="84"/>
      <c r="BS188" s="85"/>
      <c r="BT188" s="81">
        <v>30.0</v>
      </c>
      <c r="BU188" s="81">
        <v>100.0</v>
      </c>
      <c r="BV188" s="85">
        <f t="shared" si="38"/>
        <v>73.96</v>
      </c>
      <c r="BX188" s="83"/>
      <c r="BY188" s="84"/>
      <c r="BZ188" s="85"/>
      <c r="CA188" s="81">
        <v>30.0</v>
      </c>
      <c r="CB188" s="81">
        <v>100.0</v>
      </c>
      <c r="CC188" s="85">
        <f t="shared" si="39"/>
        <v>53.77777778</v>
      </c>
      <c r="CE188" s="83"/>
      <c r="CF188" s="84"/>
      <c r="CG188" s="85"/>
      <c r="CH188" s="81">
        <v>30.0</v>
      </c>
      <c r="CI188" s="81">
        <v>100.0</v>
      </c>
      <c r="CJ188" s="85">
        <f t="shared" si="40"/>
        <v>37.515625</v>
      </c>
      <c r="CL188" s="83"/>
      <c r="CM188" s="84"/>
      <c r="CN188" s="85"/>
      <c r="CO188" s="81">
        <v>30.0</v>
      </c>
      <c r="CP188" s="81">
        <v>100.0</v>
      </c>
      <c r="CQ188" s="85">
        <f t="shared" si="41"/>
        <v>20.89795918</v>
      </c>
      <c r="CS188" s="83"/>
      <c r="CT188" s="84"/>
      <c r="CU188" s="85"/>
      <c r="CV188" s="81">
        <v>30.0</v>
      </c>
      <c r="CW188" s="81">
        <v>100.0</v>
      </c>
      <c r="CX188" s="85">
        <f t="shared" si="42"/>
        <v>6.25</v>
      </c>
      <c r="CZ188" s="83"/>
      <c r="DA188" s="84"/>
      <c r="DB188" s="85"/>
      <c r="DC188" s="81">
        <v>30.0</v>
      </c>
      <c r="DD188" s="81">
        <v>100.0</v>
      </c>
      <c r="DE188" s="85">
        <f t="shared" si="43"/>
        <v>0</v>
      </c>
      <c r="DG188" s="83"/>
      <c r="DH188" s="84"/>
      <c r="DI188" s="85"/>
      <c r="DJ188" s="81">
        <v>30.0</v>
      </c>
      <c r="DK188" s="81">
        <v>100.0</v>
      </c>
      <c r="DL188" s="85">
        <f t="shared" si="44"/>
        <v>0</v>
      </c>
      <c r="DN188" s="81">
        <v>29.0</v>
      </c>
      <c r="DO188" s="81">
        <v>100.0</v>
      </c>
      <c r="DP188" s="85">
        <f t="shared" si="27"/>
        <v>2366.536332</v>
      </c>
      <c r="DQ188" s="81">
        <v>30.0</v>
      </c>
      <c r="DR188" s="81">
        <v>100.0</v>
      </c>
      <c r="DS188" s="85">
        <f t="shared" ref="DS188:DS190" si="45">(DR188 - DR$192)^2</f>
        <v>0</v>
      </c>
      <c r="DU188" s="81">
        <v>29.0</v>
      </c>
      <c r="DV188" s="81">
        <v>100.0</v>
      </c>
      <c r="DW188" s="85">
        <f t="shared" si="28"/>
        <v>2110.891975</v>
      </c>
      <c r="DX188" s="81"/>
      <c r="DY188" s="81"/>
      <c r="DZ188" s="85"/>
      <c r="EB188" s="81">
        <v>29.0</v>
      </c>
      <c r="EC188" s="81">
        <v>100.0</v>
      </c>
      <c r="ED188" s="85">
        <f t="shared" si="29"/>
        <v>1894.540166</v>
      </c>
      <c r="EE188" s="81"/>
      <c r="EF188" s="81"/>
      <c r="EG188" s="85"/>
    </row>
    <row r="189" ht="14.25" customHeight="1">
      <c r="A189" s="81">
        <v>18.0</v>
      </c>
      <c r="B189" s="81">
        <v>31.0</v>
      </c>
      <c r="C189" s="81">
        <v>100.0</v>
      </c>
      <c r="D189" s="81"/>
      <c r="E189" s="81"/>
      <c r="F189" s="83"/>
      <c r="G189" s="84"/>
      <c r="H189" s="85"/>
      <c r="I189" s="81">
        <v>31.0</v>
      </c>
      <c r="J189" s="81">
        <v>100.0</v>
      </c>
      <c r="K189" s="85">
        <f t="shared" si="11"/>
        <v>1504.623269</v>
      </c>
      <c r="M189" s="83"/>
      <c r="N189" s="84"/>
      <c r="O189" s="85"/>
      <c r="P189" s="81">
        <v>31.0</v>
      </c>
      <c r="Q189" s="81">
        <v>100.0</v>
      </c>
      <c r="R189" s="85">
        <f t="shared" si="30"/>
        <v>1292.003086</v>
      </c>
      <c r="T189" s="83"/>
      <c r="U189" s="84"/>
      <c r="V189" s="85"/>
      <c r="W189" s="81">
        <v>31.0</v>
      </c>
      <c r="X189" s="81">
        <v>100.0</v>
      </c>
      <c r="Y189" s="85">
        <f t="shared" si="31"/>
        <v>1073.525952</v>
      </c>
      <c r="AA189" s="83"/>
      <c r="AB189" s="84"/>
      <c r="AC189" s="85"/>
      <c r="AD189" s="81">
        <v>31.0</v>
      </c>
      <c r="AE189" s="81">
        <v>100.0</v>
      </c>
      <c r="AF189" s="85">
        <f t="shared" si="32"/>
        <v>851.9101563</v>
      </c>
      <c r="AH189" s="83"/>
      <c r="AI189" s="84"/>
      <c r="AJ189" s="85"/>
      <c r="AK189" s="81">
        <v>31.0</v>
      </c>
      <c r="AL189" s="81">
        <v>100.0</v>
      </c>
      <c r="AM189" s="85">
        <f t="shared" si="33"/>
        <v>641.7777778</v>
      </c>
      <c r="AO189" s="83"/>
      <c r="AP189" s="84"/>
      <c r="AQ189" s="85"/>
      <c r="AR189" s="81">
        <v>31.0</v>
      </c>
      <c r="AS189" s="81">
        <v>100.0</v>
      </c>
      <c r="AT189" s="85">
        <f t="shared" si="34"/>
        <v>459.1836735</v>
      </c>
      <c r="AV189" s="83"/>
      <c r="AW189" s="84"/>
      <c r="AX189" s="85"/>
      <c r="AY189" s="81">
        <v>31.0</v>
      </c>
      <c r="AZ189" s="81">
        <v>100.0</v>
      </c>
      <c r="BA189" s="85">
        <f t="shared" si="35"/>
        <v>326.7751479</v>
      </c>
      <c r="BC189" s="83"/>
      <c r="BD189" s="84"/>
      <c r="BE189" s="85"/>
      <c r="BF189" s="81">
        <v>31.0</v>
      </c>
      <c r="BG189" s="81">
        <v>100.0</v>
      </c>
      <c r="BH189" s="85">
        <f t="shared" si="36"/>
        <v>222.5069444</v>
      </c>
      <c r="BJ189" s="83"/>
      <c r="BK189" s="84"/>
      <c r="BL189" s="85"/>
      <c r="BM189" s="81">
        <v>31.0</v>
      </c>
      <c r="BN189" s="81">
        <v>100.0</v>
      </c>
      <c r="BO189" s="85">
        <f t="shared" si="37"/>
        <v>141.8264463</v>
      </c>
      <c r="BQ189" s="83"/>
      <c r="BR189" s="84"/>
      <c r="BS189" s="85"/>
      <c r="BT189" s="81">
        <v>31.0</v>
      </c>
      <c r="BU189" s="81">
        <v>100.0</v>
      </c>
      <c r="BV189" s="85">
        <f t="shared" si="38"/>
        <v>73.96</v>
      </c>
      <c r="BX189" s="83"/>
      <c r="BY189" s="84"/>
      <c r="BZ189" s="85"/>
      <c r="CA189" s="81">
        <v>31.0</v>
      </c>
      <c r="CB189" s="81">
        <v>100.0</v>
      </c>
      <c r="CC189" s="85">
        <f t="shared" si="39"/>
        <v>53.77777778</v>
      </c>
      <c r="CE189" s="83"/>
      <c r="CF189" s="84"/>
      <c r="CG189" s="85"/>
      <c r="CH189" s="81">
        <v>31.0</v>
      </c>
      <c r="CI189" s="81">
        <v>100.0</v>
      </c>
      <c r="CJ189" s="85">
        <f t="shared" si="40"/>
        <v>37.515625</v>
      </c>
      <c r="CL189" s="83"/>
      <c r="CM189" s="84"/>
      <c r="CN189" s="85"/>
      <c r="CO189" s="81">
        <v>31.0</v>
      </c>
      <c r="CP189" s="81">
        <v>100.0</v>
      </c>
      <c r="CQ189" s="85">
        <f t="shared" si="41"/>
        <v>20.89795918</v>
      </c>
      <c r="CS189" s="83"/>
      <c r="CT189" s="84"/>
      <c r="CU189" s="85"/>
      <c r="CV189" s="81">
        <v>31.0</v>
      </c>
      <c r="CW189" s="81">
        <v>100.0</v>
      </c>
      <c r="CX189" s="85">
        <f t="shared" si="42"/>
        <v>6.25</v>
      </c>
      <c r="CZ189" s="83"/>
      <c r="DA189" s="84"/>
      <c r="DB189" s="85"/>
      <c r="DC189" s="81">
        <v>31.0</v>
      </c>
      <c r="DD189" s="81">
        <v>100.0</v>
      </c>
      <c r="DE189" s="85">
        <f t="shared" si="43"/>
        <v>0</v>
      </c>
      <c r="DG189" s="83"/>
      <c r="DH189" s="84"/>
      <c r="DI189" s="85"/>
      <c r="DJ189" s="81">
        <v>31.0</v>
      </c>
      <c r="DK189" s="81">
        <v>100.0</v>
      </c>
      <c r="DL189" s="85">
        <f t="shared" si="44"/>
        <v>0</v>
      </c>
      <c r="DN189" s="83"/>
      <c r="DO189" s="84"/>
      <c r="DP189" s="85"/>
      <c r="DQ189" s="81">
        <v>31.0</v>
      </c>
      <c r="DR189" s="81">
        <v>100.0</v>
      </c>
      <c r="DS189" s="85">
        <f t="shared" si="45"/>
        <v>0</v>
      </c>
      <c r="DU189" s="81">
        <v>30.0</v>
      </c>
      <c r="DV189" s="81">
        <v>100.0</v>
      </c>
      <c r="DW189" s="85">
        <f t="shared" si="28"/>
        <v>2110.891975</v>
      </c>
      <c r="DX189" s="81">
        <v>31.0</v>
      </c>
      <c r="DY189" s="81">
        <v>100.0</v>
      </c>
      <c r="DZ189" s="85">
        <f t="shared" ref="DZ189:DZ190" si="46">(DY189 - DY$192)^2</f>
        <v>0</v>
      </c>
      <c r="EB189" s="81">
        <v>30.0</v>
      </c>
      <c r="EC189" s="81">
        <v>100.0</v>
      </c>
      <c r="ED189" s="85">
        <f t="shared" si="29"/>
        <v>1894.540166</v>
      </c>
      <c r="EE189" s="81"/>
      <c r="EF189" s="81"/>
      <c r="EG189" s="85"/>
    </row>
    <row r="190" ht="14.25" customHeight="1">
      <c r="A190" s="81">
        <v>19.0</v>
      </c>
      <c r="B190" s="81">
        <v>31.0</v>
      </c>
      <c r="C190" s="81">
        <v>100.0</v>
      </c>
      <c r="D190" s="81"/>
      <c r="E190" s="81"/>
      <c r="F190" s="83"/>
      <c r="G190" s="84"/>
      <c r="H190" s="85"/>
      <c r="I190" s="81">
        <v>31.0</v>
      </c>
      <c r="J190" s="81">
        <v>100.0</v>
      </c>
      <c r="K190" s="85">
        <f t="shared" si="11"/>
        <v>1504.623269</v>
      </c>
      <c r="M190" s="83"/>
      <c r="N190" s="84"/>
      <c r="O190" s="85"/>
      <c r="P190" s="81">
        <v>31.0</v>
      </c>
      <c r="Q190" s="81">
        <v>100.0</v>
      </c>
      <c r="R190" s="85">
        <f t="shared" si="30"/>
        <v>1292.003086</v>
      </c>
      <c r="T190" s="83"/>
      <c r="U190" s="84"/>
      <c r="V190" s="85"/>
      <c r="W190" s="81">
        <v>31.0</v>
      </c>
      <c r="X190" s="81">
        <v>100.0</v>
      </c>
      <c r="Y190" s="85">
        <f t="shared" si="31"/>
        <v>1073.525952</v>
      </c>
      <c r="AA190" s="83"/>
      <c r="AB190" s="84"/>
      <c r="AC190" s="85"/>
      <c r="AD190" s="81">
        <v>31.0</v>
      </c>
      <c r="AE190" s="81">
        <v>100.0</v>
      </c>
      <c r="AF190" s="85">
        <f t="shared" si="32"/>
        <v>851.9101563</v>
      </c>
      <c r="AH190" s="83"/>
      <c r="AI190" s="84"/>
      <c r="AJ190" s="85"/>
      <c r="AK190" s="81">
        <v>31.0</v>
      </c>
      <c r="AL190" s="81">
        <v>100.0</v>
      </c>
      <c r="AM190" s="85">
        <f t="shared" si="33"/>
        <v>641.7777778</v>
      </c>
      <c r="AO190" s="83"/>
      <c r="AP190" s="84"/>
      <c r="AQ190" s="85"/>
      <c r="AR190" s="81">
        <v>31.0</v>
      </c>
      <c r="AS190" s="81">
        <v>100.0</v>
      </c>
      <c r="AT190" s="85">
        <f t="shared" si="34"/>
        <v>459.1836735</v>
      </c>
      <c r="AV190" s="83"/>
      <c r="AW190" s="84"/>
      <c r="AX190" s="85"/>
      <c r="AY190" s="81">
        <v>31.0</v>
      </c>
      <c r="AZ190" s="81">
        <v>100.0</v>
      </c>
      <c r="BA190" s="85">
        <f t="shared" si="35"/>
        <v>326.7751479</v>
      </c>
      <c r="BC190" s="83"/>
      <c r="BD190" s="84"/>
      <c r="BE190" s="85"/>
      <c r="BF190" s="81">
        <v>31.0</v>
      </c>
      <c r="BG190" s="81">
        <v>100.0</v>
      </c>
      <c r="BH190" s="85">
        <f t="shared" si="36"/>
        <v>222.5069444</v>
      </c>
      <c r="BJ190" s="83"/>
      <c r="BK190" s="84"/>
      <c r="BL190" s="85"/>
      <c r="BM190" s="81">
        <v>31.0</v>
      </c>
      <c r="BN190" s="81">
        <v>100.0</v>
      </c>
      <c r="BO190" s="85">
        <f t="shared" si="37"/>
        <v>141.8264463</v>
      </c>
      <c r="BQ190" s="83"/>
      <c r="BR190" s="84"/>
      <c r="BS190" s="85"/>
      <c r="BT190" s="81">
        <v>31.0</v>
      </c>
      <c r="BU190" s="81">
        <v>100.0</v>
      </c>
      <c r="BV190" s="85">
        <f t="shared" si="38"/>
        <v>73.96</v>
      </c>
      <c r="BX190" s="83"/>
      <c r="BY190" s="84"/>
      <c r="BZ190" s="85"/>
      <c r="CA190" s="81">
        <v>31.0</v>
      </c>
      <c r="CB190" s="81">
        <v>100.0</v>
      </c>
      <c r="CC190" s="85">
        <f t="shared" si="39"/>
        <v>53.77777778</v>
      </c>
      <c r="CE190" s="83"/>
      <c r="CF190" s="84"/>
      <c r="CG190" s="85"/>
      <c r="CH190" s="81">
        <v>31.0</v>
      </c>
      <c r="CI190" s="81">
        <v>100.0</v>
      </c>
      <c r="CJ190" s="85">
        <f t="shared" si="40"/>
        <v>37.515625</v>
      </c>
      <c r="CL190" s="83"/>
      <c r="CM190" s="84"/>
      <c r="CN190" s="85"/>
      <c r="CO190" s="81">
        <v>31.0</v>
      </c>
      <c r="CP190" s="81">
        <v>100.0</v>
      </c>
      <c r="CQ190" s="85">
        <f t="shared" si="41"/>
        <v>20.89795918</v>
      </c>
      <c r="CS190" s="83"/>
      <c r="CT190" s="84"/>
      <c r="CU190" s="85"/>
      <c r="CV190" s="81">
        <v>31.0</v>
      </c>
      <c r="CW190" s="81">
        <v>100.0</v>
      </c>
      <c r="CX190" s="85">
        <f t="shared" si="42"/>
        <v>6.25</v>
      </c>
      <c r="CZ190" s="83"/>
      <c r="DA190" s="84"/>
      <c r="DB190" s="85"/>
      <c r="DC190" s="81">
        <v>31.0</v>
      </c>
      <c r="DD190" s="81">
        <v>100.0</v>
      </c>
      <c r="DE190" s="85">
        <f t="shared" si="43"/>
        <v>0</v>
      </c>
      <c r="DG190" s="83"/>
      <c r="DH190" s="84"/>
      <c r="DI190" s="85"/>
      <c r="DJ190" s="81">
        <v>31.0</v>
      </c>
      <c r="DK190" s="81">
        <v>100.0</v>
      </c>
      <c r="DL190" s="85">
        <f t="shared" si="44"/>
        <v>0</v>
      </c>
      <c r="DN190" s="83"/>
      <c r="DO190" s="84"/>
      <c r="DP190" s="85"/>
      <c r="DQ190" s="81">
        <v>31.0</v>
      </c>
      <c r="DR190" s="81">
        <v>100.0</v>
      </c>
      <c r="DS190" s="85">
        <f t="shared" si="45"/>
        <v>0</v>
      </c>
      <c r="DU190" s="83"/>
      <c r="DV190" s="84"/>
      <c r="DW190" s="85"/>
      <c r="DX190" s="81">
        <v>31.0</v>
      </c>
      <c r="DY190" s="81">
        <v>100.0</v>
      </c>
      <c r="DZ190" s="85">
        <f t="shared" si="46"/>
        <v>0</v>
      </c>
      <c r="EB190" s="81">
        <v>31.0</v>
      </c>
      <c r="EC190" s="81">
        <v>100.0</v>
      </c>
      <c r="ED190" s="85">
        <f t="shared" si="29"/>
        <v>1894.540166</v>
      </c>
      <c r="EE190" s="81">
        <v>31.0</v>
      </c>
      <c r="EF190" s="81">
        <v>100.0</v>
      </c>
      <c r="EG190" s="85">
        <f>(EF190 - EF$192)^2</f>
        <v>0</v>
      </c>
    </row>
    <row r="191" ht="14.25" customHeight="1">
      <c r="A191" s="81"/>
      <c r="B191" s="81"/>
      <c r="C191" s="81"/>
      <c r="D191" s="81"/>
      <c r="E191" s="81"/>
      <c r="F191" s="83"/>
      <c r="G191" s="84"/>
      <c r="H191" s="85"/>
      <c r="I191" s="84"/>
      <c r="J191" s="84"/>
      <c r="K191" s="85"/>
      <c r="M191" s="83"/>
      <c r="N191" s="84"/>
      <c r="O191" s="85"/>
      <c r="P191" s="84"/>
      <c r="Q191" s="84"/>
      <c r="R191" s="85"/>
      <c r="T191" s="83"/>
      <c r="U191" s="84"/>
      <c r="V191" s="85"/>
      <c r="W191" s="84"/>
      <c r="X191" s="84"/>
      <c r="Y191" s="85"/>
      <c r="AA191" s="83"/>
      <c r="AB191" s="84"/>
      <c r="AC191" s="85"/>
      <c r="AD191" s="84"/>
      <c r="AE191" s="84"/>
      <c r="AF191" s="85"/>
      <c r="AH191" s="83"/>
      <c r="AI191" s="84"/>
      <c r="AJ191" s="85"/>
      <c r="AK191" s="84"/>
      <c r="AL191" s="84"/>
      <c r="AM191" s="85"/>
      <c r="AO191" s="83"/>
      <c r="AP191" s="84"/>
      <c r="AQ191" s="85"/>
      <c r="AR191" s="84"/>
      <c r="AS191" s="84"/>
      <c r="AT191" s="85"/>
      <c r="AV191" s="83"/>
      <c r="AW191" s="84"/>
      <c r="AX191" s="85"/>
      <c r="AY191" s="84"/>
      <c r="AZ191" s="84"/>
      <c r="BA191" s="85"/>
      <c r="BC191" s="83"/>
      <c r="BD191" s="84"/>
      <c r="BE191" s="85"/>
      <c r="BF191" s="84"/>
      <c r="BG191" s="84"/>
      <c r="BH191" s="85"/>
      <c r="BJ191" s="83"/>
      <c r="BK191" s="84"/>
      <c r="BL191" s="85"/>
      <c r="BM191" s="84"/>
      <c r="BN191" s="84"/>
      <c r="BO191" s="85"/>
      <c r="BQ191" s="83"/>
      <c r="BR191" s="84"/>
      <c r="BS191" s="85"/>
      <c r="BT191" s="84"/>
      <c r="BU191" s="84"/>
      <c r="BV191" s="85"/>
      <c r="BX191" s="83"/>
      <c r="BY191" s="84"/>
      <c r="BZ191" s="85"/>
      <c r="CA191" s="84"/>
      <c r="CB191" s="84"/>
      <c r="CC191" s="85"/>
      <c r="CE191" s="83"/>
      <c r="CF191" s="84"/>
      <c r="CG191" s="85"/>
      <c r="CH191" s="84"/>
      <c r="CI191" s="84"/>
      <c r="CJ191" s="85"/>
      <c r="CL191" s="83"/>
      <c r="CM191" s="84"/>
      <c r="CN191" s="85"/>
      <c r="CO191" s="84"/>
      <c r="CP191" s="84"/>
      <c r="CQ191" s="85"/>
      <c r="CS191" s="83"/>
      <c r="CT191" s="84"/>
      <c r="CU191" s="85"/>
      <c r="CV191" s="84"/>
      <c r="CW191" s="84"/>
      <c r="CX191" s="85"/>
      <c r="CZ191" s="83"/>
      <c r="DA191" s="84"/>
      <c r="DB191" s="85"/>
      <c r="DC191" s="84"/>
      <c r="DD191" s="84"/>
      <c r="DE191" s="85"/>
      <c r="DG191" s="83"/>
      <c r="DH191" s="84"/>
      <c r="DI191" s="85"/>
      <c r="DJ191" s="84"/>
      <c r="DK191" s="84"/>
      <c r="DL191" s="85"/>
      <c r="DN191" s="83"/>
      <c r="DO191" s="84"/>
      <c r="DP191" s="85"/>
      <c r="DQ191" s="84"/>
      <c r="DR191" s="84"/>
      <c r="DS191" s="85"/>
      <c r="DU191" s="83"/>
      <c r="DV191" s="84"/>
      <c r="DW191" s="85"/>
      <c r="DX191" s="84"/>
      <c r="DY191" s="84"/>
      <c r="DZ191" s="85"/>
      <c r="EB191" s="83"/>
      <c r="EC191" s="84"/>
      <c r="ED191" s="85"/>
      <c r="EE191" s="84"/>
      <c r="EF191" s="84"/>
      <c r="EG191" s="85"/>
    </row>
    <row r="192" ht="14.25" customHeight="1">
      <c r="A192" s="81"/>
      <c r="B192" s="81"/>
      <c r="C192" s="81"/>
      <c r="D192" s="81"/>
      <c r="E192" s="81"/>
      <c r="F192" s="87"/>
      <c r="G192" s="88">
        <f>AVERAGE(G172:G190)</f>
        <v>10</v>
      </c>
      <c r="H192" s="89">
        <f>SUM(H172:H190)</f>
        <v>0</v>
      </c>
      <c r="I192" s="88"/>
      <c r="J192" s="88">
        <f>AVERAGE(J172:J190)</f>
        <v>61.21052632</v>
      </c>
      <c r="K192" s="89">
        <f>SUM(K172:K190)</f>
        <v>22863.15789</v>
      </c>
      <c r="M192" s="87"/>
      <c r="N192" s="88">
        <f>AVERAGE(N172:N190)</f>
        <v>10</v>
      </c>
      <c r="O192" s="89">
        <f>SUM(O172:O190)</f>
        <v>0</v>
      </c>
      <c r="P192" s="88"/>
      <c r="Q192" s="88">
        <f>AVERAGE(Q172:Q190)</f>
        <v>64.05555556</v>
      </c>
      <c r="R192" s="89">
        <f>SUM(R172:R190)</f>
        <v>20094.94444</v>
      </c>
      <c r="T192" s="87"/>
      <c r="U192" s="88">
        <f>AVERAGE(U172:U190)</f>
        <v>10</v>
      </c>
      <c r="V192" s="89">
        <f>SUM(V172:V190)</f>
        <v>0</v>
      </c>
      <c r="W192" s="88"/>
      <c r="X192" s="88">
        <f>AVERAGE(X172:X190)</f>
        <v>67.23529412</v>
      </c>
      <c r="Y192" s="89">
        <f>SUM(Y172:Y190)</f>
        <v>17001.05882</v>
      </c>
      <c r="AA192" s="87"/>
      <c r="AB192" s="88">
        <f>AVERAGE(AB172:AB190)</f>
        <v>10</v>
      </c>
      <c r="AC192" s="89">
        <f>SUM(AC172:AC190)</f>
        <v>0</v>
      </c>
      <c r="AD192" s="88"/>
      <c r="AE192" s="88">
        <f>AVERAGE(AE172:AE190)</f>
        <v>70.8125</v>
      </c>
      <c r="AF192" s="89">
        <f>SUM(AF172:AF190)</f>
        <v>13520.4375</v>
      </c>
      <c r="AH192" s="87"/>
      <c r="AI192" s="88">
        <f>AVERAGE(AI172:AI190)</f>
        <v>10.6</v>
      </c>
      <c r="AJ192" s="89">
        <f>SUM(AJ172:AJ190)</f>
        <v>7.2</v>
      </c>
      <c r="AK192" s="88"/>
      <c r="AL192" s="88">
        <f>AVERAGE(AL172:AL190)</f>
        <v>74.66666667</v>
      </c>
      <c r="AM192" s="89">
        <f>SUM(AM172:AM190)</f>
        <v>9955.333333</v>
      </c>
      <c r="AO192" s="87"/>
      <c r="AP192" s="88">
        <f>AVERAGE(AP172:AP190)</f>
        <v>12.16666667</v>
      </c>
      <c r="AQ192" s="89">
        <f>SUM(AQ172:AQ190)</f>
        <v>80.83333333</v>
      </c>
      <c r="AR192" s="88"/>
      <c r="AS192" s="88">
        <f>AVERAGE(AS172:AS190)</f>
        <v>78.57142857</v>
      </c>
      <c r="AT192" s="89">
        <f>SUM(AT172:AT190)</f>
        <v>6753.428571</v>
      </c>
      <c r="AV192" s="87"/>
      <c r="AW192" s="88">
        <f>AVERAGE(AW172:AW190)</f>
        <v>15.42857143</v>
      </c>
      <c r="AX192" s="89">
        <f>SUM(AX172:AX190)</f>
        <v>527.7142857</v>
      </c>
      <c r="AY192" s="88"/>
      <c r="AZ192" s="88">
        <f>AVERAGE(AZ172:AZ190)</f>
        <v>81.92307692</v>
      </c>
      <c r="BA192" s="89">
        <f>SUM(BA172:BA190)</f>
        <v>4708.923077</v>
      </c>
      <c r="BC192" s="87"/>
      <c r="BD192" s="88">
        <f>AVERAGE(BD172:BD190)</f>
        <v>19</v>
      </c>
      <c r="BE192" s="89">
        <f>SUM(BE172:BE190)</f>
        <v>1242</v>
      </c>
      <c r="BF192" s="88"/>
      <c r="BG192" s="88">
        <f>AVERAGE(BG172:BG190)</f>
        <v>85.08333333</v>
      </c>
      <c r="BH192" s="89">
        <f>SUM(BH172:BH190)</f>
        <v>3150.916667</v>
      </c>
      <c r="BJ192" s="87"/>
      <c r="BK192" s="88">
        <f>AVERAGE(BK172:BK190)</f>
        <v>22.66666667</v>
      </c>
      <c r="BL192" s="89">
        <f>SUM(BL172:BL190)</f>
        <v>2210</v>
      </c>
      <c r="BM192" s="88"/>
      <c r="BN192" s="88">
        <f>AVERAGE(BN172:BN190)</f>
        <v>88.09090909</v>
      </c>
      <c r="BO192" s="89">
        <f>SUM(BO172:BO190)</f>
        <v>1956.909091</v>
      </c>
      <c r="BQ192" s="87"/>
      <c r="BR192" s="88">
        <f>AVERAGE(BR172:BR190)</f>
        <v>25.9</v>
      </c>
      <c r="BS192" s="89">
        <f>SUM(BS172:BS190)</f>
        <v>3150.9</v>
      </c>
      <c r="BT192" s="88"/>
      <c r="BU192" s="88">
        <f>AVERAGE(BU172:BU190)</f>
        <v>91.4</v>
      </c>
      <c r="BV192" s="89">
        <f>SUM(BV172:BV190)</f>
        <v>752.4</v>
      </c>
      <c r="BX192" s="87"/>
      <c r="BY192" s="88">
        <f>AVERAGE(BY172:BY190)</f>
        <v>30.81818182</v>
      </c>
      <c r="BZ192" s="89">
        <f>SUM(BZ172:BZ190)</f>
        <v>5811.636364</v>
      </c>
      <c r="CA192" s="88"/>
      <c r="CB192" s="88">
        <f>AVERAGE(CB172:CB190)</f>
        <v>92.66666667</v>
      </c>
      <c r="CC192" s="89">
        <f>SUM(CC172:CC190)</f>
        <v>608</v>
      </c>
      <c r="CE192" s="87"/>
      <c r="CF192" s="88">
        <f>AVERAGE(CF172:CF190)</f>
        <v>35.16666667</v>
      </c>
      <c r="CG192" s="89">
        <f>SUM(CG172:CG190)</f>
        <v>8307.666667</v>
      </c>
      <c r="CH192" s="88"/>
      <c r="CI192" s="88">
        <f>AVERAGE(CI172:CI190)</f>
        <v>93.875</v>
      </c>
      <c r="CJ192" s="89">
        <f>SUM(CJ172:CJ190)</f>
        <v>502.875</v>
      </c>
      <c r="CL192" s="87"/>
      <c r="CM192" s="88">
        <f>AVERAGE(CM172:CM190)</f>
        <v>38.84615385</v>
      </c>
      <c r="CN192" s="89">
        <f>SUM(CN172:CN190)</f>
        <v>10419.69231</v>
      </c>
      <c r="CO192" s="88"/>
      <c r="CP192" s="88">
        <f>AVERAGE(CP172:CP190)</f>
        <v>95.42857143</v>
      </c>
      <c r="CQ192" s="89">
        <f>SUM(CQ172:CQ190)</f>
        <v>367.7142857</v>
      </c>
      <c r="CS192" s="87"/>
      <c r="CT192" s="88">
        <f>AVERAGE(CT172:CT190)</f>
        <v>42</v>
      </c>
      <c r="CU192" s="89">
        <f>SUM(CU172:CU190)</f>
        <v>12230</v>
      </c>
      <c r="CV192" s="88"/>
      <c r="CW192" s="88">
        <f>AVERAGE(CW172:CW190)</f>
        <v>97.5</v>
      </c>
      <c r="CX192" s="89">
        <f>SUM(CX172:CX190)</f>
        <v>187.5</v>
      </c>
      <c r="CZ192" s="87"/>
      <c r="DA192" s="88">
        <f>AVERAGE(DA172:DA190)</f>
        <v>44.86666667</v>
      </c>
      <c r="DB192" s="89">
        <f>SUM(DB172:DB190)</f>
        <v>13955.73333</v>
      </c>
      <c r="DC192" s="88"/>
      <c r="DD192" s="88">
        <f>AVERAGE(DD172:DD190)</f>
        <v>100</v>
      </c>
      <c r="DE192" s="89">
        <f>SUM(DE172:DE190)</f>
        <v>0</v>
      </c>
      <c r="DG192" s="87"/>
      <c r="DH192" s="88">
        <f>AVERAGE(DH172:DH190)</f>
        <v>48.3125</v>
      </c>
      <c r="DI192" s="89">
        <f>SUM(DI172:DI190)</f>
        <v>16805.4375</v>
      </c>
      <c r="DJ192" s="88"/>
      <c r="DK192" s="88">
        <f>AVERAGE(DK172:DK190)</f>
        <v>100</v>
      </c>
      <c r="DL192" s="89">
        <f>SUM(DL172:DL190)</f>
        <v>0</v>
      </c>
      <c r="DN192" s="87"/>
      <c r="DO192" s="88">
        <f>AVERAGE(DO172:DO190)</f>
        <v>51.35294118</v>
      </c>
      <c r="DP192" s="89">
        <f>SUM(DP172:DP190)</f>
        <v>19319.88235</v>
      </c>
      <c r="DQ192" s="88"/>
      <c r="DR192" s="88">
        <f>AVERAGE(DR172:DR190)</f>
        <v>100</v>
      </c>
      <c r="DS192" s="89">
        <f>SUM(DS172:DS190)</f>
        <v>0</v>
      </c>
      <c r="DU192" s="87"/>
      <c r="DV192" s="88">
        <f>AVERAGE(DV172:DV190)</f>
        <v>54.05555556</v>
      </c>
      <c r="DW192" s="89">
        <f>SUM(DW172:DW190)</f>
        <v>21554.94444</v>
      </c>
      <c r="DX192" s="88"/>
      <c r="DY192" s="88">
        <f>AVERAGE(DY172:DY190)</f>
        <v>100</v>
      </c>
      <c r="DZ192" s="89">
        <f>SUM(DZ172:DZ190)</f>
        <v>0</v>
      </c>
      <c r="EB192" s="87"/>
      <c r="EC192" s="88">
        <f>AVERAGE(EC172:EC190)</f>
        <v>56.47368421</v>
      </c>
      <c r="ED192" s="89">
        <f>SUM(ED172:ED190)</f>
        <v>23554.73684</v>
      </c>
      <c r="EE192" s="88"/>
      <c r="EF192" s="88">
        <f>AVERAGE(EF172:EF190)</f>
        <v>100</v>
      </c>
      <c r="EG192" s="89">
        <f>SUM(EG172:EG190)</f>
        <v>0</v>
      </c>
    </row>
    <row r="193" ht="14.25" customHeight="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</row>
    <row r="194" ht="14.25" customHeight="1"/>
    <row r="195" ht="14.25" customHeight="1">
      <c r="G195" s="12" t="s">
        <v>85</v>
      </c>
      <c r="H195" s="12">
        <f>H192+K192</f>
        <v>22863.15789</v>
      </c>
      <c r="N195" s="12" t="s">
        <v>85</v>
      </c>
      <c r="O195" s="12">
        <f>O192+R192</f>
        <v>20094.94444</v>
      </c>
      <c r="U195" s="12" t="s">
        <v>85</v>
      </c>
      <c r="V195" s="12">
        <f>V192+Y192</f>
        <v>17001.05882</v>
      </c>
      <c r="AB195" s="12" t="s">
        <v>85</v>
      </c>
      <c r="AC195" s="12">
        <f>AC192+AF192</f>
        <v>13520.4375</v>
      </c>
      <c r="AI195" s="12" t="s">
        <v>85</v>
      </c>
      <c r="AJ195" s="12">
        <f>AJ192+AM192</f>
        <v>9962.533333</v>
      </c>
      <c r="AP195" s="12" t="s">
        <v>85</v>
      </c>
      <c r="AQ195" s="12">
        <f>AQ192+AT192</f>
        <v>6834.261905</v>
      </c>
      <c r="AW195" s="12" t="s">
        <v>85</v>
      </c>
      <c r="AX195" s="12">
        <f>AX192+BA192</f>
        <v>5236.637363</v>
      </c>
      <c r="BD195" s="12" t="s">
        <v>85</v>
      </c>
      <c r="BE195" s="12">
        <f>BE192+BH192</f>
        <v>4392.916667</v>
      </c>
      <c r="BK195" s="12" t="s">
        <v>85</v>
      </c>
      <c r="BL195" s="12">
        <f>BL192+BO192</f>
        <v>4166.909091</v>
      </c>
      <c r="BR195" s="12" t="s">
        <v>85</v>
      </c>
      <c r="BS195" s="12">
        <f>BS192+BV192</f>
        <v>3903.3</v>
      </c>
      <c r="BY195" s="12" t="s">
        <v>85</v>
      </c>
      <c r="BZ195" s="12">
        <f>BZ192+CC192</f>
        <v>6419.636364</v>
      </c>
      <c r="CF195" s="12" t="s">
        <v>85</v>
      </c>
      <c r="CG195" s="12">
        <f>CG192+CJ192</f>
        <v>8810.541667</v>
      </c>
      <c r="CM195" s="12" t="s">
        <v>85</v>
      </c>
      <c r="CN195" s="12">
        <f>CN192+CQ192</f>
        <v>10787.40659</v>
      </c>
      <c r="CT195" s="12" t="s">
        <v>85</v>
      </c>
      <c r="CU195" s="12">
        <f>CU192+CX192</f>
        <v>12417.5</v>
      </c>
      <c r="DA195" s="12" t="s">
        <v>85</v>
      </c>
      <c r="DB195" s="12">
        <f>DB192+DE192</f>
        <v>13955.73333</v>
      </c>
      <c r="DH195" s="12" t="s">
        <v>85</v>
      </c>
      <c r="DI195" s="12">
        <f>DI192+DL192</f>
        <v>16805.4375</v>
      </c>
      <c r="DO195" s="12" t="s">
        <v>85</v>
      </c>
      <c r="DP195" s="12">
        <f>DP192+DS192</f>
        <v>19319.88235</v>
      </c>
      <c r="DV195" s="12" t="s">
        <v>85</v>
      </c>
      <c r="DW195" s="12">
        <f>DW192+DZ192</f>
        <v>21554.94444</v>
      </c>
      <c r="EC195" s="12" t="s">
        <v>85</v>
      </c>
      <c r="ED195" s="12">
        <f>ED192+EG192</f>
        <v>23554.73684</v>
      </c>
    </row>
    <row r="196" ht="14.25" customHeight="1"/>
    <row r="197" ht="14.25" customHeight="1"/>
    <row r="198" ht="14.25" customHeight="1">
      <c r="B198" s="80" t="s">
        <v>82</v>
      </c>
      <c r="C198" s="80" t="s">
        <v>85</v>
      </c>
    </row>
    <row r="199" ht="14.25" customHeight="1">
      <c r="B199" s="80">
        <v>10.0</v>
      </c>
      <c r="C199" s="90">
        <f>H195</f>
        <v>22863.15789</v>
      </c>
    </row>
    <row r="200" ht="14.25" customHeight="1">
      <c r="B200" s="80">
        <v>11.0</v>
      </c>
      <c r="C200" s="90">
        <f>O195</f>
        <v>20094.94444</v>
      </c>
    </row>
    <row r="201" ht="14.25" customHeight="1">
      <c r="B201" s="80">
        <v>12.0</v>
      </c>
      <c r="C201" s="90">
        <f>V195</f>
        <v>17001.05882</v>
      </c>
    </row>
    <row r="202" ht="14.25" customHeight="1">
      <c r="B202" s="80">
        <v>13.0</v>
      </c>
      <c r="C202" s="90">
        <f>AC195</f>
        <v>13520.4375</v>
      </c>
    </row>
    <row r="203" ht="14.25" customHeight="1">
      <c r="B203" s="80">
        <v>14.0</v>
      </c>
      <c r="C203" s="90">
        <f>AJ195</f>
        <v>9962.533333</v>
      </c>
    </row>
    <row r="204" ht="14.25" customHeight="1">
      <c r="B204" s="80">
        <v>15.0</v>
      </c>
      <c r="C204" s="90">
        <f>AQ195</f>
        <v>6834.261905</v>
      </c>
    </row>
    <row r="205" ht="14.25" customHeight="1">
      <c r="B205" s="80">
        <v>17.5</v>
      </c>
      <c r="C205" s="90">
        <f>AX195</f>
        <v>5236.637363</v>
      </c>
    </row>
    <row r="206" ht="14.25" customHeight="1">
      <c r="B206" s="80">
        <v>18.0</v>
      </c>
      <c r="C206" s="90">
        <f>BE195</f>
        <v>4392.916667</v>
      </c>
    </row>
    <row r="207" ht="14.25" customHeight="1">
      <c r="B207" s="80">
        <v>18.5</v>
      </c>
      <c r="C207" s="90">
        <f>BL195</f>
        <v>4166.909091</v>
      </c>
    </row>
    <row r="208" ht="14.25" customHeight="1">
      <c r="B208" s="80">
        <v>19.0</v>
      </c>
      <c r="C208" s="90">
        <f>BS195</f>
        <v>3903.3</v>
      </c>
    </row>
    <row r="209" ht="14.25" customHeight="1">
      <c r="B209" s="80">
        <v>21.0</v>
      </c>
      <c r="C209" s="90">
        <f>BZ195</f>
        <v>6419.636364</v>
      </c>
    </row>
    <row r="210" ht="14.25" customHeight="1">
      <c r="B210" s="80">
        <v>22.0</v>
      </c>
      <c r="C210" s="90">
        <f>CG195</f>
        <v>8810.541667</v>
      </c>
    </row>
    <row r="211" ht="14.25" customHeight="1">
      <c r="B211" s="80">
        <v>23.0</v>
      </c>
      <c r="C211" s="90">
        <f>CN195</f>
        <v>10787.40659</v>
      </c>
    </row>
    <row r="212" ht="14.25" customHeight="1">
      <c r="B212" s="80">
        <v>24.0</v>
      </c>
      <c r="C212" s="90">
        <f>CU195</f>
        <v>12417.5</v>
      </c>
    </row>
    <row r="213" ht="14.25" customHeight="1">
      <c r="B213" s="80">
        <v>25.0</v>
      </c>
      <c r="C213" s="90">
        <f>DB195</f>
        <v>13955.73333</v>
      </c>
    </row>
    <row r="214" ht="14.25" customHeight="1">
      <c r="B214" s="80">
        <v>28.0</v>
      </c>
      <c r="C214" s="90">
        <f>DI195</f>
        <v>16805.4375</v>
      </c>
    </row>
    <row r="215" ht="14.25" customHeight="1">
      <c r="B215" s="80">
        <v>29.0</v>
      </c>
      <c r="C215" s="90">
        <f>DP195</f>
        <v>19319.88235</v>
      </c>
    </row>
    <row r="216" ht="14.25" customHeight="1">
      <c r="B216" s="80">
        <v>30.0</v>
      </c>
      <c r="C216" s="90">
        <f>DW195</f>
        <v>21554.94444</v>
      </c>
    </row>
    <row r="217" ht="14.25" customHeight="1">
      <c r="B217" s="80">
        <v>31.0</v>
      </c>
      <c r="C217" s="90">
        <f>ED195</f>
        <v>23554.73684</v>
      </c>
    </row>
    <row r="218" ht="14.25" customHeight="1">
      <c r="B218" s="81"/>
    </row>
  </sheetData>
  <mergeCells count="37">
    <mergeCell ref="F1:K1"/>
    <mergeCell ref="M1:R1"/>
    <mergeCell ref="T1:Y1"/>
    <mergeCell ref="AA1:AF1"/>
    <mergeCell ref="F68:K68"/>
    <mergeCell ref="M68:R68"/>
    <mergeCell ref="A96:A105"/>
    <mergeCell ref="E122:E127"/>
    <mergeCell ref="E137:E141"/>
    <mergeCell ref="A106:A115"/>
    <mergeCell ref="A122:A131"/>
    <mergeCell ref="B122:B127"/>
    <mergeCell ref="B128:B131"/>
    <mergeCell ref="A132:A141"/>
    <mergeCell ref="B132:B136"/>
    <mergeCell ref="B137:B141"/>
    <mergeCell ref="E128:E131"/>
    <mergeCell ref="E132:E136"/>
    <mergeCell ref="F170:K170"/>
    <mergeCell ref="M170:R170"/>
    <mergeCell ref="T170:Y170"/>
    <mergeCell ref="AA170:AF170"/>
    <mergeCell ref="AH170:AM170"/>
    <mergeCell ref="CL170:CQ170"/>
    <mergeCell ref="CS170:CX170"/>
    <mergeCell ref="CZ170:DE170"/>
    <mergeCell ref="DG170:DL170"/>
    <mergeCell ref="DN170:DS170"/>
    <mergeCell ref="DU170:DZ170"/>
    <mergeCell ref="EB170:EG170"/>
    <mergeCell ref="AO170:AT170"/>
    <mergeCell ref="AV170:BA170"/>
    <mergeCell ref="BC170:BH170"/>
    <mergeCell ref="BJ170:BO170"/>
    <mergeCell ref="BQ170:BV170"/>
    <mergeCell ref="BX170:CC170"/>
    <mergeCell ref="CE170:CJ17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71"/>
  </cols>
  <sheetData>
    <row r="1" ht="14.25" customHeight="1">
      <c r="A1" s="12" t="s">
        <v>82</v>
      </c>
      <c r="B1" s="12" t="s">
        <v>83</v>
      </c>
      <c r="F1" s="91" t="s">
        <v>99</v>
      </c>
      <c r="G1" s="5"/>
      <c r="H1" s="5"/>
      <c r="I1" s="5"/>
      <c r="J1" s="5"/>
      <c r="K1" s="6"/>
      <c r="M1" s="91" t="s">
        <v>100</v>
      </c>
      <c r="N1" s="5"/>
      <c r="O1" s="5"/>
      <c r="P1" s="5"/>
      <c r="Q1" s="5"/>
      <c r="R1" s="6"/>
      <c r="T1" s="91" t="s">
        <v>101</v>
      </c>
      <c r="U1" s="5"/>
      <c r="V1" s="5"/>
      <c r="W1" s="5"/>
      <c r="X1" s="5"/>
      <c r="Y1" s="6"/>
      <c r="AA1" s="91" t="s">
        <v>81</v>
      </c>
      <c r="AB1" s="5"/>
      <c r="AC1" s="5"/>
      <c r="AD1" s="5"/>
      <c r="AE1" s="5"/>
      <c r="AF1" s="6"/>
      <c r="AH1" s="91" t="s">
        <v>97</v>
      </c>
      <c r="AI1" s="5"/>
      <c r="AJ1" s="5"/>
      <c r="AK1" s="5"/>
      <c r="AL1" s="5"/>
      <c r="AM1" s="6"/>
    </row>
    <row r="2" ht="14.25" customHeight="1">
      <c r="A2" s="12">
        <v>10.0</v>
      </c>
      <c r="B2" s="12">
        <v>10.0</v>
      </c>
      <c r="F2" s="91" t="s">
        <v>3</v>
      </c>
      <c r="G2" s="5"/>
      <c r="H2" s="6"/>
      <c r="I2" s="91" t="s">
        <v>4</v>
      </c>
      <c r="J2" s="5"/>
      <c r="K2" s="6"/>
      <c r="M2" s="91" t="s">
        <v>3</v>
      </c>
      <c r="N2" s="5"/>
      <c r="O2" s="6"/>
      <c r="P2" s="91" t="s">
        <v>4</v>
      </c>
      <c r="Q2" s="5"/>
      <c r="R2" s="6"/>
      <c r="T2" s="91" t="s">
        <v>3</v>
      </c>
      <c r="U2" s="5"/>
      <c r="V2" s="6"/>
      <c r="W2" s="91" t="s">
        <v>4</v>
      </c>
      <c r="X2" s="5"/>
      <c r="Y2" s="6"/>
      <c r="AA2" s="91" t="s">
        <v>3</v>
      </c>
      <c r="AB2" s="5"/>
      <c r="AC2" s="6"/>
      <c r="AD2" s="91" t="s">
        <v>4</v>
      </c>
      <c r="AE2" s="5"/>
      <c r="AF2" s="6"/>
      <c r="AH2" s="91" t="s">
        <v>3</v>
      </c>
      <c r="AI2" s="5"/>
      <c r="AJ2" s="6"/>
      <c r="AK2" s="91" t="s">
        <v>4</v>
      </c>
      <c r="AL2" s="5"/>
      <c r="AM2" s="6"/>
    </row>
    <row r="3" ht="14.25" customHeight="1">
      <c r="A3" s="12">
        <v>11.0</v>
      </c>
      <c r="B3" s="12">
        <v>10.0</v>
      </c>
      <c r="F3" s="92" t="s">
        <v>84</v>
      </c>
      <c r="G3" s="93" t="s">
        <v>102</v>
      </c>
      <c r="H3" s="94" t="s">
        <v>85</v>
      </c>
      <c r="I3" s="92" t="s">
        <v>84</v>
      </c>
      <c r="J3" s="93" t="s">
        <v>102</v>
      </c>
      <c r="K3" s="94" t="s">
        <v>85</v>
      </c>
      <c r="M3" s="92" t="s">
        <v>84</v>
      </c>
      <c r="N3" s="93" t="s">
        <v>102</v>
      </c>
      <c r="O3" s="94" t="s">
        <v>85</v>
      </c>
      <c r="P3" s="92" t="s">
        <v>84</v>
      </c>
      <c r="Q3" s="93" t="s">
        <v>102</v>
      </c>
      <c r="R3" s="94" t="s">
        <v>85</v>
      </c>
      <c r="T3" s="92" t="s">
        <v>84</v>
      </c>
      <c r="U3" s="93" t="s">
        <v>102</v>
      </c>
      <c r="V3" s="94" t="s">
        <v>85</v>
      </c>
      <c r="W3" s="92" t="s">
        <v>84</v>
      </c>
      <c r="X3" s="93" t="s">
        <v>102</v>
      </c>
      <c r="Y3" s="94" t="s">
        <v>85</v>
      </c>
      <c r="AA3" s="92" t="s">
        <v>84</v>
      </c>
      <c r="AB3" s="93" t="s">
        <v>102</v>
      </c>
      <c r="AC3" s="94" t="s">
        <v>85</v>
      </c>
      <c r="AD3" s="92" t="s">
        <v>84</v>
      </c>
      <c r="AE3" s="93" t="s">
        <v>102</v>
      </c>
      <c r="AF3" s="94" t="s">
        <v>85</v>
      </c>
      <c r="AH3" s="92" t="s">
        <v>84</v>
      </c>
      <c r="AI3" s="93" t="s">
        <v>102</v>
      </c>
      <c r="AJ3" s="94" t="s">
        <v>85</v>
      </c>
      <c r="AK3" s="92" t="s">
        <v>84</v>
      </c>
      <c r="AL3" s="93" t="s">
        <v>102</v>
      </c>
      <c r="AM3" s="94" t="s">
        <v>85</v>
      </c>
    </row>
    <row r="4" ht="14.25" customHeight="1">
      <c r="A4" s="12">
        <v>12.0</v>
      </c>
      <c r="B4" s="12">
        <v>10.0</v>
      </c>
      <c r="F4" s="44">
        <v>10.0</v>
      </c>
      <c r="G4" s="12">
        <v>10.0</v>
      </c>
      <c r="H4" s="45">
        <f>(G4-G$25)^2</f>
        <v>0</v>
      </c>
      <c r="I4" s="12">
        <v>11.0</v>
      </c>
      <c r="J4" s="12">
        <v>10.0</v>
      </c>
      <c r="K4" s="45">
        <f t="shared" ref="K4:K22" si="1">(J4-J$25)^2</f>
        <v>2622.518006</v>
      </c>
      <c r="M4" s="44">
        <v>10.0</v>
      </c>
      <c r="N4" s="12">
        <v>10.0</v>
      </c>
      <c r="O4" s="45">
        <f t="shared" ref="O4:O5" si="2">(N4-N$25)^2</f>
        <v>0</v>
      </c>
      <c r="R4" s="45"/>
      <c r="T4" s="44">
        <v>10.0</v>
      </c>
      <c r="U4" s="12">
        <v>10.0</v>
      </c>
      <c r="V4" s="45">
        <f t="shared" ref="V4:V6" si="3">(U4-U$25)^2</f>
        <v>0</v>
      </c>
      <c r="Y4" s="45"/>
      <c r="AA4" s="44">
        <v>10.0</v>
      </c>
      <c r="AB4" s="12">
        <v>10.0</v>
      </c>
      <c r="AC4" s="45">
        <f t="shared" ref="AC4:AC7" si="4">(AB4-AB$25)^2</f>
        <v>0</v>
      </c>
      <c r="AF4" s="45"/>
      <c r="AH4" s="44">
        <v>10.0</v>
      </c>
      <c r="AI4" s="12">
        <v>10.0</v>
      </c>
      <c r="AJ4" s="45">
        <f t="shared" ref="AJ4:AJ8" si="5">(AI4-AI$25)^2</f>
        <v>0.36</v>
      </c>
      <c r="AM4" s="45"/>
    </row>
    <row r="5" ht="14.25" customHeight="1">
      <c r="A5" s="12">
        <v>13.0</v>
      </c>
      <c r="B5" s="12">
        <v>10.0</v>
      </c>
      <c r="F5" s="44"/>
      <c r="H5" s="45"/>
      <c r="I5" s="12">
        <v>12.0</v>
      </c>
      <c r="J5" s="12">
        <v>10.0</v>
      </c>
      <c r="K5" s="45">
        <f t="shared" si="1"/>
        <v>2622.518006</v>
      </c>
      <c r="M5" s="44">
        <v>11.0</v>
      </c>
      <c r="N5" s="12">
        <v>10.0</v>
      </c>
      <c r="O5" s="45">
        <f t="shared" si="2"/>
        <v>0</v>
      </c>
      <c r="P5" s="12">
        <v>12.0</v>
      </c>
      <c r="Q5" s="12">
        <v>10.0</v>
      </c>
      <c r="R5" s="45">
        <f t="shared" ref="R5:R22" si="6">(Q5-Q$25)^2</f>
        <v>2922.003086</v>
      </c>
      <c r="T5" s="44">
        <v>11.0</v>
      </c>
      <c r="U5" s="12">
        <v>10.0</v>
      </c>
      <c r="V5" s="45">
        <f t="shared" si="3"/>
        <v>0</v>
      </c>
      <c r="Y5" s="45"/>
      <c r="AA5" s="44">
        <v>11.0</v>
      </c>
      <c r="AB5" s="12">
        <v>10.0</v>
      </c>
      <c r="AC5" s="45">
        <f t="shared" si="4"/>
        <v>0</v>
      </c>
      <c r="AF5" s="45"/>
      <c r="AH5" s="44">
        <v>11.0</v>
      </c>
      <c r="AI5" s="12">
        <v>10.0</v>
      </c>
      <c r="AJ5" s="45">
        <f t="shared" si="5"/>
        <v>0.36</v>
      </c>
      <c r="AM5" s="45"/>
    </row>
    <row r="6" ht="14.25" customHeight="1">
      <c r="A6" s="12">
        <v>14.0</v>
      </c>
      <c r="B6" s="12">
        <v>13.0</v>
      </c>
      <c r="F6" s="44"/>
      <c r="H6" s="45"/>
      <c r="I6" s="12">
        <v>13.0</v>
      </c>
      <c r="J6" s="12">
        <v>10.0</v>
      </c>
      <c r="K6" s="45">
        <f t="shared" si="1"/>
        <v>2622.518006</v>
      </c>
      <c r="M6" s="44"/>
      <c r="O6" s="45"/>
      <c r="P6" s="12">
        <v>13.0</v>
      </c>
      <c r="Q6" s="12">
        <v>10.0</v>
      </c>
      <c r="R6" s="45">
        <f t="shared" si="6"/>
        <v>2922.003086</v>
      </c>
      <c r="T6" s="44">
        <v>12.0</v>
      </c>
      <c r="U6" s="12">
        <v>10.0</v>
      </c>
      <c r="V6" s="45">
        <f t="shared" si="3"/>
        <v>0</v>
      </c>
      <c r="W6" s="12">
        <v>13.0</v>
      </c>
      <c r="X6" s="12">
        <v>10.0</v>
      </c>
      <c r="Y6" s="45">
        <f t="shared" ref="Y6:Y22" si="7">(X6-X$25)^2</f>
        <v>3275.878893</v>
      </c>
      <c r="AA6" s="44">
        <v>12.0</v>
      </c>
      <c r="AB6" s="12">
        <v>10.0</v>
      </c>
      <c r="AC6" s="45">
        <f t="shared" si="4"/>
        <v>0</v>
      </c>
      <c r="AF6" s="45"/>
      <c r="AH6" s="44">
        <v>12.0</v>
      </c>
      <c r="AI6" s="12">
        <v>10.0</v>
      </c>
      <c r="AJ6" s="45">
        <f t="shared" si="5"/>
        <v>0.36</v>
      </c>
      <c r="AM6" s="45"/>
    </row>
    <row r="7" ht="14.25" customHeight="1">
      <c r="A7" s="12">
        <v>15.0</v>
      </c>
      <c r="B7" s="12">
        <v>20.0</v>
      </c>
      <c r="F7" s="44"/>
      <c r="H7" s="45"/>
      <c r="I7" s="12">
        <v>14.0</v>
      </c>
      <c r="J7" s="12">
        <v>13.0</v>
      </c>
      <c r="K7" s="45">
        <f t="shared" si="1"/>
        <v>2324.254848</v>
      </c>
      <c r="M7" s="44"/>
      <c r="O7" s="45"/>
      <c r="P7" s="12">
        <v>14.0</v>
      </c>
      <c r="Q7" s="12">
        <v>13.0</v>
      </c>
      <c r="R7" s="45">
        <f t="shared" si="6"/>
        <v>2606.669753</v>
      </c>
      <c r="T7" s="44"/>
      <c r="V7" s="45"/>
      <c r="W7" s="12">
        <v>14.0</v>
      </c>
      <c r="X7" s="12">
        <v>13.0</v>
      </c>
      <c r="Y7" s="45">
        <f t="shared" si="7"/>
        <v>2941.467128</v>
      </c>
      <c r="AA7" s="44">
        <v>13.0</v>
      </c>
      <c r="AB7" s="12">
        <v>10.0</v>
      </c>
      <c r="AC7" s="45">
        <f t="shared" si="4"/>
        <v>0</v>
      </c>
      <c r="AD7" s="12">
        <v>14.0</v>
      </c>
      <c r="AE7" s="12">
        <v>13.0</v>
      </c>
      <c r="AF7" s="45">
        <f t="shared" ref="AF7:AF22" si="8">(AE7-AE$25)^2</f>
        <v>3342.285156</v>
      </c>
      <c r="AH7" s="44">
        <v>13.0</v>
      </c>
      <c r="AI7" s="12">
        <v>10.0</v>
      </c>
      <c r="AJ7" s="45">
        <f t="shared" si="5"/>
        <v>0.36</v>
      </c>
      <c r="AM7" s="45"/>
    </row>
    <row r="8" ht="14.25" customHeight="1">
      <c r="A8" s="12">
        <v>17.5</v>
      </c>
      <c r="B8" s="12">
        <v>35.0</v>
      </c>
      <c r="F8" s="44"/>
      <c r="H8" s="45"/>
      <c r="I8" s="12">
        <v>15.0</v>
      </c>
      <c r="J8" s="12">
        <v>20.0</v>
      </c>
      <c r="K8" s="45">
        <f t="shared" si="1"/>
        <v>1698.307479</v>
      </c>
      <c r="M8" s="44"/>
      <c r="O8" s="45"/>
      <c r="P8" s="12">
        <v>15.0</v>
      </c>
      <c r="Q8" s="12">
        <v>20.0</v>
      </c>
      <c r="R8" s="45">
        <f t="shared" si="6"/>
        <v>1940.891975</v>
      </c>
      <c r="T8" s="44"/>
      <c r="V8" s="45"/>
      <c r="W8" s="12">
        <v>15.0</v>
      </c>
      <c r="X8" s="12">
        <v>20.0</v>
      </c>
      <c r="Y8" s="45">
        <f t="shared" si="7"/>
        <v>2231.17301</v>
      </c>
      <c r="AA8" s="44"/>
      <c r="AC8" s="45"/>
      <c r="AD8" s="12">
        <v>15.0</v>
      </c>
      <c r="AE8" s="12">
        <v>20.0</v>
      </c>
      <c r="AF8" s="45">
        <f t="shared" si="8"/>
        <v>2581.910156</v>
      </c>
      <c r="AH8" s="44">
        <v>14.0</v>
      </c>
      <c r="AI8" s="12">
        <v>13.0</v>
      </c>
      <c r="AJ8" s="45">
        <f t="shared" si="5"/>
        <v>5.76</v>
      </c>
      <c r="AK8" s="12">
        <v>15.0</v>
      </c>
      <c r="AL8" s="12">
        <v>20.0</v>
      </c>
      <c r="AM8" s="45">
        <f t="shared" ref="AM8:AM22" si="9">(AL8-AL$25)^2</f>
        <v>2988.444444</v>
      </c>
    </row>
    <row r="9" ht="14.25" customHeight="1">
      <c r="A9" s="12">
        <v>18.0</v>
      </c>
      <c r="B9" s="12">
        <v>44.0</v>
      </c>
      <c r="F9" s="44"/>
      <c r="H9" s="45"/>
      <c r="I9" s="12">
        <v>17.5</v>
      </c>
      <c r="J9" s="12">
        <v>35.0</v>
      </c>
      <c r="K9" s="45">
        <f t="shared" si="1"/>
        <v>686.9916898</v>
      </c>
      <c r="M9" s="44"/>
      <c r="O9" s="45"/>
      <c r="P9" s="12">
        <v>17.5</v>
      </c>
      <c r="Q9" s="12">
        <v>35.0</v>
      </c>
      <c r="R9" s="45">
        <f t="shared" si="6"/>
        <v>844.2253086</v>
      </c>
      <c r="T9" s="44"/>
      <c r="V9" s="45"/>
      <c r="W9" s="12">
        <v>17.5</v>
      </c>
      <c r="X9" s="12">
        <v>35.0</v>
      </c>
      <c r="Y9" s="45">
        <f t="shared" si="7"/>
        <v>1039.114187</v>
      </c>
      <c r="AA9" s="44"/>
      <c r="AC9" s="45"/>
      <c r="AD9" s="12">
        <v>17.5</v>
      </c>
      <c r="AE9" s="12">
        <v>35.0</v>
      </c>
      <c r="AF9" s="45">
        <f t="shared" si="8"/>
        <v>1282.535156</v>
      </c>
      <c r="AH9" s="44"/>
      <c r="AJ9" s="45"/>
      <c r="AK9" s="12">
        <v>17.5</v>
      </c>
      <c r="AL9" s="12">
        <v>35.0</v>
      </c>
      <c r="AM9" s="45">
        <f t="shared" si="9"/>
        <v>1573.444444</v>
      </c>
    </row>
    <row r="10" ht="14.25" customHeight="1">
      <c r="A10" s="12">
        <v>18.5</v>
      </c>
      <c r="B10" s="12">
        <v>52.0</v>
      </c>
      <c r="F10" s="44"/>
      <c r="H10" s="45"/>
      <c r="I10" s="12">
        <v>18.0</v>
      </c>
      <c r="J10" s="12">
        <v>44.0</v>
      </c>
      <c r="K10" s="45">
        <f t="shared" si="1"/>
        <v>296.2022161</v>
      </c>
      <c r="M10" s="44"/>
      <c r="O10" s="45"/>
      <c r="P10" s="12">
        <v>18.0</v>
      </c>
      <c r="Q10" s="12">
        <v>44.0</v>
      </c>
      <c r="R10" s="45">
        <f t="shared" si="6"/>
        <v>402.2253086</v>
      </c>
      <c r="T10" s="44"/>
      <c r="V10" s="45"/>
      <c r="W10" s="12">
        <v>18.0</v>
      </c>
      <c r="X10" s="12">
        <v>44.0</v>
      </c>
      <c r="Y10" s="45">
        <f t="shared" si="7"/>
        <v>539.8788927</v>
      </c>
      <c r="AA10" s="44"/>
      <c r="AC10" s="45"/>
      <c r="AD10" s="12">
        <v>18.0</v>
      </c>
      <c r="AE10" s="12">
        <v>44.0</v>
      </c>
      <c r="AF10" s="45">
        <f t="shared" si="8"/>
        <v>718.9101563</v>
      </c>
      <c r="AH10" s="44"/>
      <c r="AJ10" s="45"/>
      <c r="AK10" s="12">
        <v>18.0</v>
      </c>
      <c r="AL10" s="12">
        <v>44.0</v>
      </c>
      <c r="AM10" s="45">
        <f t="shared" si="9"/>
        <v>940.4444444</v>
      </c>
    </row>
    <row r="11" ht="14.25" customHeight="1">
      <c r="A11" s="12">
        <v>19.0</v>
      </c>
      <c r="B11" s="12">
        <v>55.0</v>
      </c>
      <c r="F11" s="44"/>
      <c r="H11" s="45"/>
      <c r="I11" s="12">
        <v>18.5</v>
      </c>
      <c r="J11" s="12">
        <v>52.0</v>
      </c>
      <c r="K11" s="45">
        <f t="shared" si="1"/>
        <v>84.83379501</v>
      </c>
      <c r="M11" s="44"/>
      <c r="O11" s="45"/>
      <c r="P11" s="12">
        <v>18.5</v>
      </c>
      <c r="Q11" s="12">
        <v>52.0</v>
      </c>
      <c r="R11" s="45">
        <f t="shared" si="6"/>
        <v>145.3364198</v>
      </c>
      <c r="T11" s="44"/>
      <c r="V11" s="45"/>
      <c r="W11" s="12">
        <v>18.5</v>
      </c>
      <c r="X11" s="12">
        <v>52.0</v>
      </c>
      <c r="Y11" s="45">
        <f t="shared" si="7"/>
        <v>232.1141869</v>
      </c>
      <c r="AA11" s="44"/>
      <c r="AC11" s="45"/>
      <c r="AD11" s="12">
        <v>18.5</v>
      </c>
      <c r="AE11" s="12">
        <v>52.0</v>
      </c>
      <c r="AF11" s="45">
        <f t="shared" si="8"/>
        <v>353.9101563</v>
      </c>
      <c r="AH11" s="44"/>
      <c r="AJ11" s="45"/>
      <c r="AK11" s="12">
        <v>18.5</v>
      </c>
      <c r="AL11" s="12">
        <v>52.0</v>
      </c>
      <c r="AM11" s="45">
        <f t="shared" si="9"/>
        <v>513.7777778</v>
      </c>
    </row>
    <row r="12" ht="14.25" customHeight="1">
      <c r="A12" s="12">
        <v>21.0</v>
      </c>
      <c r="B12" s="12">
        <v>80.0</v>
      </c>
      <c r="F12" s="44"/>
      <c r="H12" s="45"/>
      <c r="I12" s="12">
        <v>19.0</v>
      </c>
      <c r="J12" s="12">
        <v>55.0</v>
      </c>
      <c r="K12" s="45">
        <f t="shared" si="1"/>
        <v>38.57063712</v>
      </c>
      <c r="M12" s="44"/>
      <c r="O12" s="45"/>
      <c r="P12" s="12">
        <v>19.0</v>
      </c>
      <c r="Q12" s="12">
        <v>55.0</v>
      </c>
      <c r="R12" s="45">
        <f t="shared" si="6"/>
        <v>82.00308642</v>
      </c>
      <c r="T12" s="44"/>
      <c r="V12" s="45"/>
      <c r="W12" s="12">
        <v>19.0</v>
      </c>
      <c r="X12" s="12">
        <v>55.0</v>
      </c>
      <c r="Y12" s="45">
        <f t="shared" si="7"/>
        <v>149.7024221</v>
      </c>
      <c r="AA12" s="44"/>
      <c r="AC12" s="45"/>
      <c r="AD12" s="12">
        <v>19.0</v>
      </c>
      <c r="AE12" s="12">
        <v>55.0</v>
      </c>
      <c r="AF12" s="45">
        <f t="shared" si="8"/>
        <v>250.0351563</v>
      </c>
      <c r="AH12" s="44"/>
      <c r="AJ12" s="45"/>
      <c r="AK12" s="12">
        <v>19.0</v>
      </c>
      <c r="AL12" s="12">
        <v>55.0</v>
      </c>
      <c r="AM12" s="45">
        <f t="shared" si="9"/>
        <v>386.7777778</v>
      </c>
    </row>
    <row r="13" ht="14.25" customHeight="1">
      <c r="A13" s="12">
        <v>22.0</v>
      </c>
      <c r="B13" s="12">
        <v>83.0</v>
      </c>
      <c r="F13" s="44"/>
      <c r="H13" s="45"/>
      <c r="I13" s="12">
        <v>21.0</v>
      </c>
      <c r="J13" s="12">
        <v>80.0</v>
      </c>
      <c r="K13" s="45">
        <f t="shared" si="1"/>
        <v>353.0443213</v>
      </c>
      <c r="M13" s="44"/>
      <c r="O13" s="45"/>
      <c r="P13" s="12">
        <v>21.0</v>
      </c>
      <c r="Q13" s="12">
        <v>80.0</v>
      </c>
      <c r="R13" s="45">
        <f t="shared" si="6"/>
        <v>254.2253086</v>
      </c>
      <c r="T13" s="44"/>
      <c r="V13" s="45"/>
      <c r="W13" s="12">
        <v>21.0</v>
      </c>
      <c r="X13" s="12">
        <v>80.0</v>
      </c>
      <c r="Y13" s="45">
        <f t="shared" si="7"/>
        <v>162.9377163</v>
      </c>
      <c r="AA13" s="44"/>
      <c r="AC13" s="45"/>
      <c r="AD13" s="12">
        <v>21.0</v>
      </c>
      <c r="AE13" s="12">
        <v>80.0</v>
      </c>
      <c r="AF13" s="45">
        <f t="shared" si="8"/>
        <v>84.41015625</v>
      </c>
      <c r="AH13" s="44"/>
      <c r="AJ13" s="45"/>
      <c r="AK13" s="12">
        <v>21.0</v>
      </c>
      <c r="AL13" s="12">
        <v>80.0</v>
      </c>
      <c r="AM13" s="45">
        <f t="shared" si="9"/>
        <v>28.44444444</v>
      </c>
    </row>
    <row r="14" ht="14.25" customHeight="1">
      <c r="A14" s="12">
        <v>23.0</v>
      </c>
      <c r="B14" s="12">
        <v>83.0</v>
      </c>
      <c r="F14" s="44"/>
      <c r="H14" s="45"/>
      <c r="I14" s="12">
        <v>22.0</v>
      </c>
      <c r="J14" s="12">
        <v>83.0</v>
      </c>
      <c r="K14" s="45">
        <f t="shared" si="1"/>
        <v>474.7811634</v>
      </c>
      <c r="M14" s="44"/>
      <c r="O14" s="45"/>
      <c r="P14" s="12">
        <v>22.0</v>
      </c>
      <c r="Q14" s="12">
        <v>83.0</v>
      </c>
      <c r="R14" s="45">
        <f t="shared" si="6"/>
        <v>358.8919753</v>
      </c>
      <c r="T14" s="44"/>
      <c r="V14" s="45"/>
      <c r="W14" s="12">
        <v>22.0</v>
      </c>
      <c r="X14" s="12">
        <v>83.0</v>
      </c>
      <c r="Y14" s="45">
        <f t="shared" si="7"/>
        <v>248.5259516</v>
      </c>
      <c r="AA14" s="44"/>
      <c r="AC14" s="45"/>
      <c r="AD14" s="12">
        <v>22.0</v>
      </c>
      <c r="AE14" s="12">
        <v>83.0</v>
      </c>
      <c r="AF14" s="45">
        <f t="shared" si="8"/>
        <v>148.5351563</v>
      </c>
      <c r="AH14" s="44"/>
      <c r="AJ14" s="45"/>
      <c r="AK14" s="12">
        <v>22.0</v>
      </c>
      <c r="AL14" s="12">
        <v>83.0</v>
      </c>
      <c r="AM14" s="45">
        <f t="shared" si="9"/>
        <v>69.44444444</v>
      </c>
    </row>
    <row r="15" ht="14.25" customHeight="1">
      <c r="A15" s="12">
        <v>24.0</v>
      </c>
      <c r="B15" s="12">
        <v>83.0</v>
      </c>
      <c r="F15" s="44"/>
      <c r="H15" s="45"/>
      <c r="I15" s="12">
        <v>23.0</v>
      </c>
      <c r="J15" s="12">
        <v>83.0</v>
      </c>
      <c r="K15" s="45">
        <f t="shared" si="1"/>
        <v>474.7811634</v>
      </c>
      <c r="M15" s="44"/>
      <c r="O15" s="45"/>
      <c r="P15" s="12">
        <v>23.0</v>
      </c>
      <c r="Q15" s="12">
        <v>83.0</v>
      </c>
      <c r="R15" s="45">
        <f t="shared" si="6"/>
        <v>358.8919753</v>
      </c>
      <c r="T15" s="44"/>
      <c r="V15" s="45"/>
      <c r="W15" s="12">
        <v>23.0</v>
      </c>
      <c r="X15" s="12">
        <v>83.0</v>
      </c>
      <c r="Y15" s="45">
        <f t="shared" si="7"/>
        <v>248.5259516</v>
      </c>
      <c r="AA15" s="44"/>
      <c r="AC15" s="45"/>
      <c r="AD15" s="12">
        <v>23.0</v>
      </c>
      <c r="AE15" s="12">
        <v>83.0</v>
      </c>
      <c r="AF15" s="45">
        <f t="shared" si="8"/>
        <v>148.5351563</v>
      </c>
      <c r="AH15" s="44"/>
      <c r="AJ15" s="45"/>
      <c r="AK15" s="12">
        <v>23.0</v>
      </c>
      <c r="AL15" s="12">
        <v>83.0</v>
      </c>
      <c r="AM15" s="45">
        <f t="shared" si="9"/>
        <v>69.44444444</v>
      </c>
    </row>
    <row r="16" ht="14.25" customHeight="1">
      <c r="A16" s="12">
        <v>25.0</v>
      </c>
      <c r="B16" s="12">
        <v>85.0</v>
      </c>
      <c r="F16" s="44"/>
      <c r="H16" s="45"/>
      <c r="I16" s="12">
        <v>24.0</v>
      </c>
      <c r="J16" s="12">
        <v>83.0</v>
      </c>
      <c r="K16" s="45">
        <f t="shared" si="1"/>
        <v>474.7811634</v>
      </c>
      <c r="M16" s="44"/>
      <c r="O16" s="45"/>
      <c r="P16" s="12">
        <v>24.0</v>
      </c>
      <c r="Q16" s="12">
        <v>83.0</v>
      </c>
      <c r="R16" s="45">
        <f t="shared" si="6"/>
        <v>358.8919753</v>
      </c>
      <c r="T16" s="44"/>
      <c r="V16" s="45"/>
      <c r="W16" s="12">
        <v>24.0</v>
      </c>
      <c r="X16" s="12">
        <v>83.0</v>
      </c>
      <c r="Y16" s="45">
        <f t="shared" si="7"/>
        <v>248.5259516</v>
      </c>
      <c r="AA16" s="44"/>
      <c r="AC16" s="45"/>
      <c r="AD16" s="12">
        <v>24.0</v>
      </c>
      <c r="AE16" s="12">
        <v>83.0</v>
      </c>
      <c r="AF16" s="45">
        <f t="shared" si="8"/>
        <v>148.5351563</v>
      </c>
      <c r="AH16" s="44"/>
      <c r="AJ16" s="45"/>
      <c r="AK16" s="12">
        <v>24.0</v>
      </c>
      <c r="AL16" s="12">
        <v>83.0</v>
      </c>
      <c r="AM16" s="45">
        <f t="shared" si="9"/>
        <v>69.44444444</v>
      </c>
    </row>
    <row r="17" ht="14.25" customHeight="1">
      <c r="A17" s="12">
        <v>28.0</v>
      </c>
      <c r="B17" s="12">
        <v>100.0</v>
      </c>
      <c r="F17" s="44"/>
      <c r="H17" s="45"/>
      <c r="I17" s="12">
        <v>25.0</v>
      </c>
      <c r="J17" s="12">
        <v>85.0</v>
      </c>
      <c r="K17" s="45">
        <f t="shared" si="1"/>
        <v>565.9390582</v>
      </c>
      <c r="M17" s="44"/>
      <c r="O17" s="45"/>
      <c r="P17" s="12">
        <v>25.0</v>
      </c>
      <c r="Q17" s="12">
        <v>85.0</v>
      </c>
      <c r="R17" s="45">
        <f t="shared" si="6"/>
        <v>438.6697531</v>
      </c>
      <c r="T17" s="44"/>
      <c r="V17" s="45"/>
      <c r="W17" s="12">
        <v>25.0</v>
      </c>
      <c r="X17" s="12">
        <v>85.0</v>
      </c>
      <c r="Y17" s="45">
        <f t="shared" si="7"/>
        <v>315.5847751</v>
      </c>
      <c r="AA17" s="44"/>
      <c r="AC17" s="45"/>
      <c r="AD17" s="12">
        <v>25.0</v>
      </c>
      <c r="AE17" s="12">
        <v>85.0</v>
      </c>
      <c r="AF17" s="45">
        <f t="shared" si="8"/>
        <v>201.2851563</v>
      </c>
      <c r="AH17" s="44"/>
      <c r="AJ17" s="45"/>
      <c r="AK17" s="12">
        <v>25.0</v>
      </c>
      <c r="AL17" s="12">
        <v>85.0</v>
      </c>
      <c r="AM17" s="45">
        <f t="shared" si="9"/>
        <v>106.7777778</v>
      </c>
    </row>
    <row r="18" ht="14.25" customHeight="1">
      <c r="A18" s="12">
        <v>29.0</v>
      </c>
      <c r="B18" s="12">
        <v>100.0</v>
      </c>
      <c r="F18" s="44"/>
      <c r="H18" s="45"/>
      <c r="I18" s="12">
        <v>28.0</v>
      </c>
      <c r="J18" s="12">
        <v>100.0</v>
      </c>
      <c r="K18" s="45">
        <f t="shared" si="1"/>
        <v>1504.623269</v>
      </c>
      <c r="M18" s="44"/>
      <c r="O18" s="45"/>
      <c r="P18" s="12">
        <v>28.0</v>
      </c>
      <c r="Q18" s="12">
        <v>100.0</v>
      </c>
      <c r="R18" s="45">
        <f t="shared" si="6"/>
        <v>1292.003086</v>
      </c>
      <c r="T18" s="44"/>
      <c r="V18" s="45"/>
      <c r="W18" s="12">
        <v>28.0</v>
      </c>
      <c r="X18" s="12">
        <v>100.0</v>
      </c>
      <c r="Y18" s="45">
        <f t="shared" si="7"/>
        <v>1073.525952</v>
      </c>
      <c r="AA18" s="44"/>
      <c r="AC18" s="45"/>
      <c r="AD18" s="12">
        <v>28.0</v>
      </c>
      <c r="AE18" s="12">
        <v>100.0</v>
      </c>
      <c r="AF18" s="45">
        <f t="shared" si="8"/>
        <v>851.9101563</v>
      </c>
      <c r="AH18" s="44"/>
      <c r="AJ18" s="45"/>
      <c r="AK18" s="12">
        <v>28.0</v>
      </c>
      <c r="AL18" s="12">
        <v>100.0</v>
      </c>
      <c r="AM18" s="45">
        <f t="shared" si="9"/>
        <v>641.7777778</v>
      </c>
    </row>
    <row r="19" ht="14.25" customHeight="1">
      <c r="A19" s="12">
        <v>30.0</v>
      </c>
      <c r="B19" s="12">
        <v>100.0</v>
      </c>
      <c r="F19" s="44"/>
      <c r="H19" s="45"/>
      <c r="I19" s="12">
        <v>29.0</v>
      </c>
      <c r="J19" s="12">
        <v>100.0</v>
      </c>
      <c r="K19" s="45">
        <f t="shared" si="1"/>
        <v>1504.623269</v>
      </c>
      <c r="M19" s="44"/>
      <c r="O19" s="45"/>
      <c r="P19" s="12">
        <v>29.0</v>
      </c>
      <c r="Q19" s="12">
        <v>100.0</v>
      </c>
      <c r="R19" s="45">
        <f t="shared" si="6"/>
        <v>1292.003086</v>
      </c>
      <c r="T19" s="44"/>
      <c r="V19" s="45"/>
      <c r="W19" s="12">
        <v>29.0</v>
      </c>
      <c r="X19" s="12">
        <v>100.0</v>
      </c>
      <c r="Y19" s="45">
        <f t="shared" si="7"/>
        <v>1073.525952</v>
      </c>
      <c r="AA19" s="44"/>
      <c r="AC19" s="45"/>
      <c r="AD19" s="12">
        <v>29.0</v>
      </c>
      <c r="AE19" s="12">
        <v>100.0</v>
      </c>
      <c r="AF19" s="45">
        <f t="shared" si="8"/>
        <v>851.9101563</v>
      </c>
      <c r="AH19" s="44"/>
      <c r="AJ19" s="45"/>
      <c r="AK19" s="12">
        <v>29.0</v>
      </c>
      <c r="AL19" s="12">
        <v>100.0</v>
      </c>
      <c r="AM19" s="45">
        <f t="shared" si="9"/>
        <v>641.7777778</v>
      </c>
    </row>
    <row r="20" ht="14.25" customHeight="1">
      <c r="A20" s="12">
        <v>31.0</v>
      </c>
      <c r="B20" s="12">
        <v>100.0</v>
      </c>
      <c r="F20" s="44"/>
      <c r="H20" s="45"/>
      <c r="I20" s="12">
        <v>30.0</v>
      </c>
      <c r="J20" s="12">
        <v>100.0</v>
      </c>
      <c r="K20" s="45">
        <f t="shared" si="1"/>
        <v>1504.623269</v>
      </c>
      <c r="M20" s="44"/>
      <c r="O20" s="45"/>
      <c r="P20" s="12">
        <v>30.0</v>
      </c>
      <c r="Q20" s="12">
        <v>100.0</v>
      </c>
      <c r="R20" s="45">
        <f t="shared" si="6"/>
        <v>1292.003086</v>
      </c>
      <c r="T20" s="44"/>
      <c r="V20" s="45"/>
      <c r="W20" s="12">
        <v>30.0</v>
      </c>
      <c r="X20" s="12">
        <v>100.0</v>
      </c>
      <c r="Y20" s="45">
        <f t="shared" si="7"/>
        <v>1073.525952</v>
      </c>
      <c r="AA20" s="44"/>
      <c r="AC20" s="45"/>
      <c r="AD20" s="12">
        <v>30.0</v>
      </c>
      <c r="AE20" s="12">
        <v>100.0</v>
      </c>
      <c r="AF20" s="45">
        <f t="shared" si="8"/>
        <v>851.9101563</v>
      </c>
      <c r="AH20" s="44"/>
      <c r="AJ20" s="45"/>
      <c r="AK20" s="12">
        <v>30.0</v>
      </c>
      <c r="AL20" s="12">
        <v>100.0</v>
      </c>
      <c r="AM20" s="45">
        <f t="shared" si="9"/>
        <v>641.7777778</v>
      </c>
    </row>
    <row r="21" ht="14.25" customHeight="1">
      <c r="A21" s="12">
        <v>31.0</v>
      </c>
      <c r="B21" s="12">
        <v>100.0</v>
      </c>
      <c r="F21" s="44"/>
      <c r="H21" s="45"/>
      <c r="I21" s="12">
        <v>31.0</v>
      </c>
      <c r="J21" s="12">
        <v>100.0</v>
      </c>
      <c r="K21" s="45">
        <f t="shared" si="1"/>
        <v>1504.623269</v>
      </c>
      <c r="M21" s="44"/>
      <c r="O21" s="45"/>
      <c r="P21" s="12">
        <v>31.0</v>
      </c>
      <c r="Q21" s="12">
        <v>100.0</v>
      </c>
      <c r="R21" s="45">
        <f t="shared" si="6"/>
        <v>1292.003086</v>
      </c>
      <c r="T21" s="44"/>
      <c r="V21" s="45"/>
      <c r="W21" s="12">
        <v>31.0</v>
      </c>
      <c r="X21" s="12">
        <v>100.0</v>
      </c>
      <c r="Y21" s="45">
        <f t="shared" si="7"/>
        <v>1073.525952</v>
      </c>
      <c r="AA21" s="44"/>
      <c r="AC21" s="45"/>
      <c r="AD21" s="12">
        <v>31.0</v>
      </c>
      <c r="AE21" s="12">
        <v>100.0</v>
      </c>
      <c r="AF21" s="45">
        <f t="shared" si="8"/>
        <v>851.9101563</v>
      </c>
      <c r="AH21" s="44"/>
      <c r="AJ21" s="45"/>
      <c r="AK21" s="12">
        <v>31.0</v>
      </c>
      <c r="AL21" s="12">
        <v>100.0</v>
      </c>
      <c r="AM21" s="45">
        <f t="shared" si="9"/>
        <v>641.7777778</v>
      </c>
    </row>
    <row r="22" ht="14.25" customHeight="1">
      <c r="F22" s="44"/>
      <c r="H22" s="45"/>
      <c r="I22" s="12">
        <v>31.0</v>
      </c>
      <c r="J22" s="12">
        <v>100.0</v>
      </c>
      <c r="K22" s="45">
        <f t="shared" si="1"/>
        <v>1504.623269</v>
      </c>
      <c r="M22" s="44"/>
      <c r="O22" s="45"/>
      <c r="P22" s="12">
        <v>31.0</v>
      </c>
      <c r="Q22" s="12">
        <v>100.0</v>
      </c>
      <c r="R22" s="45">
        <f t="shared" si="6"/>
        <v>1292.003086</v>
      </c>
      <c r="T22" s="44"/>
      <c r="V22" s="45"/>
      <c r="W22" s="12">
        <v>31.0</v>
      </c>
      <c r="X22" s="12">
        <v>100.0</v>
      </c>
      <c r="Y22" s="45">
        <f t="shared" si="7"/>
        <v>1073.525952</v>
      </c>
      <c r="AA22" s="44"/>
      <c r="AC22" s="45"/>
      <c r="AD22" s="12">
        <v>31.0</v>
      </c>
      <c r="AE22" s="12">
        <v>100.0</v>
      </c>
      <c r="AF22" s="45">
        <f t="shared" si="8"/>
        <v>851.9101563</v>
      </c>
      <c r="AH22" s="44"/>
      <c r="AJ22" s="45"/>
      <c r="AK22" s="12">
        <v>31.0</v>
      </c>
      <c r="AL22" s="12">
        <v>100.0</v>
      </c>
      <c r="AM22" s="45">
        <f t="shared" si="9"/>
        <v>641.7777778</v>
      </c>
    </row>
    <row r="23" ht="14.25" customHeight="1">
      <c r="F23" s="44"/>
      <c r="H23" s="45"/>
      <c r="K23" s="45"/>
      <c r="M23" s="44"/>
      <c r="O23" s="45"/>
      <c r="R23" s="45"/>
      <c r="T23" s="44"/>
      <c r="V23" s="45"/>
      <c r="Y23" s="45"/>
      <c r="AA23" s="44"/>
      <c r="AC23" s="45"/>
      <c r="AF23" s="45"/>
      <c r="AH23" s="44"/>
      <c r="AJ23" s="45"/>
      <c r="AM23" s="45"/>
    </row>
    <row r="24" ht="14.25" customHeight="1">
      <c r="F24" s="44"/>
      <c r="H24" s="45"/>
      <c r="K24" s="45"/>
      <c r="M24" s="44"/>
      <c r="O24" s="45"/>
      <c r="R24" s="45"/>
      <c r="T24" s="44"/>
      <c r="V24" s="45"/>
      <c r="Y24" s="45"/>
      <c r="AA24" s="44"/>
      <c r="AC24" s="45"/>
      <c r="AF24" s="45"/>
      <c r="AH24" s="44"/>
      <c r="AJ24" s="45"/>
      <c r="AM24" s="45"/>
    </row>
    <row r="25" ht="14.25" customHeight="1">
      <c r="F25" s="92"/>
      <c r="G25" s="93">
        <f>AVERAGE(G4:G23)</f>
        <v>10</v>
      </c>
      <c r="H25" s="94">
        <f>SUM(H4:H23)</f>
        <v>0</v>
      </c>
      <c r="I25" s="93"/>
      <c r="J25" s="93">
        <f>AVERAGE(J4:J23)</f>
        <v>61.21052632</v>
      </c>
      <c r="K25" s="94">
        <f>SUM(K4:K23)</f>
        <v>22863.15789</v>
      </c>
      <c r="M25" s="92"/>
      <c r="N25" s="93">
        <f>AVERAGE(N4:N23)</f>
        <v>10</v>
      </c>
      <c r="O25" s="94">
        <f>SUM(O4:O23)</f>
        <v>0</v>
      </c>
      <c r="P25" s="93"/>
      <c r="Q25" s="93">
        <f>AVERAGE(Q4:Q23)</f>
        <v>64.05555556</v>
      </c>
      <c r="R25" s="94">
        <f>SUM(R4:R23)</f>
        <v>20094.94444</v>
      </c>
      <c r="T25" s="92"/>
      <c r="U25" s="93">
        <f>AVERAGE(U4:U23)</f>
        <v>10</v>
      </c>
      <c r="V25" s="94">
        <f>SUM(V4:V23)</f>
        <v>0</v>
      </c>
      <c r="W25" s="93"/>
      <c r="X25" s="93">
        <f>AVERAGE(X4:X23)</f>
        <v>67.23529412</v>
      </c>
      <c r="Y25" s="94">
        <f>SUM(Y4:Y23)</f>
        <v>17001.05882</v>
      </c>
      <c r="AA25" s="46"/>
      <c r="AB25" s="47">
        <f>AVERAGE(AB4:AB23)</f>
        <v>10</v>
      </c>
      <c r="AC25" s="95">
        <f>SUM(AC4:AC23)</f>
        <v>0</v>
      </c>
      <c r="AD25" s="47"/>
      <c r="AE25" s="47">
        <f>AVERAGE(AE4:AE23)</f>
        <v>70.8125</v>
      </c>
      <c r="AF25" s="95">
        <f>SUM(AF4:AF23)</f>
        <v>13520.4375</v>
      </c>
      <c r="AH25" s="46"/>
      <c r="AI25" s="47">
        <f>AVERAGE(AI4:AI23)</f>
        <v>10.6</v>
      </c>
      <c r="AJ25" s="95">
        <f>SUM(AJ4:AJ23)</f>
        <v>7.2</v>
      </c>
      <c r="AK25" s="47"/>
      <c r="AL25" s="47">
        <f>AVERAGE(AL4:AL23)</f>
        <v>74.66666667</v>
      </c>
      <c r="AM25" s="95">
        <f>SUM(AM4:AM23)</f>
        <v>9955.333333</v>
      </c>
    </row>
    <row r="26" ht="14.25" customHeight="1"/>
    <row r="27" ht="14.25" customHeight="1"/>
    <row r="28" ht="14.25" customHeight="1">
      <c r="G28" s="96" t="s">
        <v>87</v>
      </c>
      <c r="H28" s="97" t="s">
        <v>85</v>
      </c>
    </row>
    <row r="29" ht="14.25" customHeight="1">
      <c r="G29" s="44" t="s">
        <v>103</v>
      </c>
      <c r="H29" s="45">
        <f>H25+K25</f>
        <v>22863.15789</v>
      </c>
    </row>
    <row r="30" ht="14.25" customHeight="1">
      <c r="G30" s="44" t="s">
        <v>104</v>
      </c>
      <c r="H30" s="45">
        <f>O25+R25</f>
        <v>20094.94444</v>
      </c>
    </row>
    <row r="31" ht="14.25" customHeight="1">
      <c r="G31" s="44" t="s">
        <v>105</v>
      </c>
      <c r="H31" s="45">
        <f>V25+Y25</f>
        <v>17001.05882</v>
      </c>
    </row>
    <row r="32" ht="14.25" customHeight="1">
      <c r="G32" s="44" t="s">
        <v>106</v>
      </c>
      <c r="H32" s="45">
        <f>AC25+AF25</f>
        <v>13520.4375</v>
      </c>
    </row>
    <row r="33" ht="14.25" customHeight="1">
      <c r="G33" s="44" t="s">
        <v>107</v>
      </c>
      <c r="H33" s="45">
        <f>AJ25+AM25</f>
        <v>9962.533333</v>
      </c>
    </row>
    <row r="34" ht="14.25" customHeight="1">
      <c r="G34" s="44" t="s">
        <v>108</v>
      </c>
      <c r="H34" s="45"/>
    </row>
    <row r="35" ht="14.25" customHeight="1">
      <c r="G35" s="44" t="s">
        <v>109</v>
      </c>
      <c r="H35" s="45"/>
    </row>
    <row r="36" ht="14.25" customHeight="1">
      <c r="G36" s="44" t="s">
        <v>110</v>
      </c>
      <c r="H36" s="45"/>
    </row>
    <row r="37" ht="14.25" customHeight="1">
      <c r="G37" s="44" t="s">
        <v>111</v>
      </c>
      <c r="H37" s="45"/>
    </row>
    <row r="38" ht="14.25" customHeight="1">
      <c r="G38" s="44" t="s">
        <v>112</v>
      </c>
      <c r="H38" s="45"/>
    </row>
    <row r="39" ht="14.25" customHeight="1">
      <c r="G39" s="44" t="s">
        <v>113</v>
      </c>
      <c r="H39" s="45"/>
    </row>
    <row r="40" ht="14.25" customHeight="1">
      <c r="G40" s="44" t="s">
        <v>114</v>
      </c>
      <c r="H40" s="45"/>
    </row>
    <row r="41" ht="14.25" customHeight="1">
      <c r="G41" s="44" t="s">
        <v>115</v>
      </c>
      <c r="H41" s="45"/>
    </row>
    <row r="42" ht="14.25" customHeight="1">
      <c r="G42" s="44" t="s">
        <v>116</v>
      </c>
      <c r="H42" s="45"/>
    </row>
    <row r="43" ht="14.25" customHeight="1">
      <c r="G43" s="44" t="s">
        <v>117</v>
      </c>
      <c r="H43" s="45"/>
    </row>
    <row r="44" ht="14.25" customHeight="1">
      <c r="G44" s="44" t="s">
        <v>118</v>
      </c>
      <c r="H44" s="45"/>
    </row>
    <row r="45" ht="14.25" customHeight="1">
      <c r="G45" s="44" t="s">
        <v>119</v>
      </c>
      <c r="H45" s="45"/>
    </row>
    <row r="46" ht="14.25" customHeight="1">
      <c r="G46" s="44" t="s">
        <v>120</v>
      </c>
      <c r="H46" s="45"/>
    </row>
    <row r="47" ht="14.25" customHeight="1">
      <c r="G47" s="44" t="s">
        <v>121</v>
      </c>
      <c r="H47" s="45"/>
    </row>
    <row r="48" ht="14.25" customHeight="1">
      <c r="G48" s="44"/>
      <c r="H48" s="45"/>
    </row>
    <row r="49" ht="14.25" customHeight="1">
      <c r="G49" s="44"/>
      <c r="H49" s="45"/>
    </row>
    <row r="50" ht="14.25" customHeight="1">
      <c r="G50" s="44"/>
      <c r="H50" s="45"/>
    </row>
    <row r="51" ht="14.25" customHeight="1">
      <c r="G51" s="46"/>
      <c r="H51" s="95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M2:O2"/>
    <mergeCell ref="P2:R2"/>
    <mergeCell ref="T2:V2"/>
    <mergeCell ref="W2:Y2"/>
    <mergeCell ref="AA2:AC2"/>
    <mergeCell ref="AD2:AF2"/>
    <mergeCell ref="AH2:AJ2"/>
    <mergeCell ref="AK2:AM2"/>
    <mergeCell ref="F1:K1"/>
    <mergeCell ref="M1:R1"/>
    <mergeCell ref="T1:Y1"/>
    <mergeCell ref="AA1:AF1"/>
    <mergeCell ref="AH1:AM1"/>
    <mergeCell ref="F2:H2"/>
    <mergeCell ref="I2:K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